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ers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Defect Log" sheetId="6" state="visible" r:id="rId6"/>
    <sheet xmlns:r="http://schemas.openxmlformats.org/officeDocument/2006/relationships" name="Survey" sheetId="7" state="visible" r:id="rId7"/>
  </sheets>
  <definedNames>
    <definedName name="_xlnm._FilterDatabase" localSheetId="3" hidden="1">'Test Cases'!$A$1:$N$49</definedName>
    <definedName name="_xlnm._FilterDatabase" localSheetId="4" hidden="1">'Results'!$A$1:$H$2000</definedName>
    <definedName name="_xlnm._FilterDatabase" localSheetId="5" hidden="1">'Defect Log'!$A$1:$L$500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03B70"/>
      <sz val="16"/>
    </font>
    <font>
      <name val="Arial"/>
      <sz val="10"/>
    </font>
    <font>
      <name val="Arial"/>
      <b val="1"/>
      <color rgb="00003B70"/>
      <sz val="11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003B70"/>
        <bgColor rgb="00003B70"/>
      </patternFill>
    </fill>
    <fill>
      <patternFill patternType="solid">
        <fgColor rgb="00EEF3F8"/>
        <bgColor rgb="00EEF3F8"/>
      </patternFill>
    </fill>
    <fill>
      <patternFill patternType="solid">
        <fgColor rgb="00FFF9C4"/>
        <bgColor rgb="00FFF9C4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horizontal="center" vertical="top"/>
    </xf>
    <xf numFmtId="164" fontId="7" fillId="0" borderId="1" applyAlignment="1" pivotButton="0" quotePrefix="0" xfId="0">
      <alignment horizontal="center"/>
    </xf>
    <xf numFmtId="1" fontId="7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0" fillId="0" borderId="4" pivotButton="0" quotePrefix="0" xfId="0"/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165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22" customWidth="1" min="4" max="4"/>
    <col width="52" customWidth="1" min="5" max="5"/>
  </cols>
  <sheetData>
    <row r="2">
      <c r="B2" s="1" t="inlineStr">
        <is>
          <t>SEMS - User Acceptance Testing workbook</t>
        </is>
      </c>
    </row>
    <row r="3">
      <c r="B3" s="2" t="inlineStr">
        <is>
          <t>Secure Event Management System, Universiti Poly-Tech Malaysia</t>
        </is>
      </c>
    </row>
    <row r="5">
      <c r="B5" s="3" t="inlineStr">
        <is>
          <t>How to use this workbook</t>
        </is>
      </c>
    </row>
    <row r="6" ht="28" customHeight="1">
      <c r="B6" s="4" t="inlineStr">
        <is>
          <t>1.</t>
        </is>
      </c>
      <c r="C6" s="5" t="inlineStr">
        <is>
          <t>Test Cases holds the 48 test scenarios. Do not type in it: its Executed / Pass / Fail / Blocked / Pass rate columns are calculated from Results.</t>
        </is>
      </c>
    </row>
    <row r="7" ht="28" customHeight="1">
      <c r="B7" s="4" t="inlineStr">
        <is>
          <t>2.</t>
        </is>
      </c>
      <c r="C7" s="5" t="inlineStr">
        <is>
          <t>Results: add one row per tester per test case (Tester ID, Role, TC ID, Result). Paste rows from the Google Form export here.</t>
        </is>
      </c>
    </row>
    <row r="8" ht="28" customHeight="1">
      <c r="B8" s="4" t="inlineStr">
        <is>
          <t>3.</t>
        </is>
      </c>
      <c r="C8" s="5" t="inlineStr">
        <is>
          <t>Defect Log: add one row for every problem found. Link it to a TC ID. Keep the Status up to date.</t>
        </is>
      </c>
    </row>
    <row r="9" ht="28" customHeight="1">
      <c r="B9" s="4" t="inlineStr">
        <is>
          <t>4.</t>
        </is>
      </c>
      <c r="C9" s="5" t="inlineStr">
        <is>
          <t>Survey: paste the Google Form response rows into columns A to S (same order as the form). The SUS score is calculated for you (0 to 100).</t>
        </is>
      </c>
    </row>
    <row r="10" ht="28" customHeight="1">
      <c r="B10" s="4" t="inlineStr">
        <is>
          <t>5.</t>
        </is>
      </c>
      <c r="C10" s="5" t="inlineStr">
        <is>
          <t>Summary: shows pass rates, defects, SUS and whether each acceptance criterion is met. Nothing to type there.</t>
        </is>
      </c>
    </row>
    <row r="11" ht="28" customHeight="1">
      <c r="B11" s="4" t="inlineStr">
        <is>
          <t>6.</t>
        </is>
      </c>
      <c r="C11" s="5" t="inlineStr">
        <is>
          <t>Type only in Results, Defect Log, Survey and the yellow numbers on Testers. Everything else is calculated, so leave it alone. The three data sheets start empty.</t>
        </is>
      </c>
    </row>
    <row r="13">
      <c r="B13" s="3" t="inlineStr">
        <is>
          <t>Result codes</t>
        </is>
      </c>
    </row>
    <row r="14">
      <c r="B14" s="6" t="inlineStr">
        <is>
          <t>Pass</t>
        </is>
      </c>
      <c r="C14" s="2" t="inlineStr">
        <is>
          <t>The system did what the Expected result says.</t>
        </is>
      </c>
    </row>
    <row r="15">
      <c r="B15" s="6" t="inlineStr">
        <is>
          <t>Fail</t>
        </is>
      </c>
      <c r="C15" s="2" t="inlineStr">
        <is>
          <t>The system did something different or broke. Log a defect.</t>
        </is>
      </c>
    </row>
    <row r="16">
      <c r="B16" s="6" t="inlineStr">
        <is>
          <t>Blocked</t>
        </is>
      </c>
      <c r="C16" s="2" t="inlineStr">
        <is>
          <t>You could not run the case (missing data, earlier step failed). Say why in the comment.</t>
        </is>
      </c>
    </row>
    <row r="18">
      <c r="B18" s="3" t="inlineStr">
        <is>
          <t>Defect severity</t>
        </is>
      </c>
    </row>
    <row r="19" ht="28" customHeight="1">
      <c r="B19" s="6" t="inlineStr">
        <is>
          <t>Critical</t>
        </is>
      </c>
      <c r="C19" s="5" t="inlineStr">
        <is>
          <t>Cannot continue, data is lost or exposed, or another role's data is visible. Must be fixed before acceptance.</t>
        </is>
      </c>
    </row>
    <row r="20" ht="28" customHeight="1">
      <c r="B20" s="6" t="inlineStr">
        <is>
          <t>Major</t>
        </is>
      </c>
      <c r="C20" s="5" t="inlineStr">
        <is>
          <t>A main task fails or gives wrong results, but there is a workaround.</t>
        </is>
      </c>
    </row>
    <row r="21" ht="28" customHeight="1">
      <c r="B21" s="6" t="inlineStr">
        <is>
          <t>Minor</t>
        </is>
      </c>
      <c r="C21" s="5" t="inlineStr">
        <is>
          <t>A small problem that does not stop the task (unclear message, awkward layout).</t>
        </is>
      </c>
    </row>
    <row r="22" ht="28" customHeight="1">
      <c r="B22" s="6" t="inlineStr">
        <is>
          <t>Cosmetic</t>
        </is>
      </c>
      <c r="C22" s="5" t="inlineStr">
        <is>
          <t>Spelling, alignment or colour issues only.</t>
        </is>
      </c>
    </row>
    <row r="24">
      <c r="B24" s="3" t="inlineStr">
        <is>
          <t>Example rows (format only - do not copy into the data sheets)</t>
        </is>
      </c>
    </row>
    <row r="25" ht="20" customHeight="1">
      <c r="A25" s="7" t="n"/>
      <c r="B25" s="7" t="inlineStr">
        <is>
          <t>Sheet</t>
        </is>
      </c>
      <c r="C25" s="7" t="inlineStr">
        <is>
          <t>Example row</t>
        </is>
      </c>
      <c r="D25" s="7" t="n"/>
      <c r="E25" s="7" t="n"/>
    </row>
    <row r="26" ht="42" customHeight="1">
      <c r="B26" s="6" t="inlineStr">
        <is>
          <t>Results</t>
        </is>
      </c>
      <c r="C26" s="8" t="inlineStr">
        <is>
          <t>Tester ID: T07 | Name: Aina | Role: Club Committee | TC ID: CLB-04 | Result: Fail | Comment: Total shows RM 0.00 after deleting a row | Date: 2026-11-02 | Defect: D-004</t>
        </is>
      </c>
    </row>
    <row r="27" ht="42" customHeight="1">
      <c r="B27" s="6" t="inlineStr">
        <is>
          <t>Defect Log</t>
        </is>
      </c>
      <c r="C27" s="8" t="inlineStr">
        <is>
          <t>D-004 | 2026-11-02 | T07 | CLB-04 | Club Committee | Budget total wrong after removing a row | Steps: add 3 rows, remove the 2nd | Major | Open</t>
        </is>
      </c>
    </row>
    <row r="28" ht="42" customHeight="1">
      <c r="B28" s="6" t="inlineStr">
        <is>
          <t>Survey</t>
        </is>
      </c>
      <c r="C28" s="8" t="inlineStr">
        <is>
          <t>2026-11-02 10:41 | T07 | Phone | SUS answers 4,2,4,1,4,2,5,1,4,2 (gives SUS 82.5) | UAT answers 4,4,5 | open answers | Recommend: Yes</t>
        </is>
      </c>
    </row>
  </sheetData>
  <mergeCells count="17">
    <mergeCell ref="C16:E16"/>
    <mergeCell ref="C11:E11"/>
    <mergeCell ref="C14:E14"/>
    <mergeCell ref="C27:E27"/>
    <mergeCell ref="C19:E19"/>
    <mergeCell ref="C28:E28"/>
    <mergeCell ref="C22:E22"/>
    <mergeCell ref="C8:E8"/>
    <mergeCell ref="C9:E9"/>
    <mergeCell ref="C26:E26"/>
    <mergeCell ref="C7:E7"/>
    <mergeCell ref="C21:E21"/>
    <mergeCell ref="C20:E20"/>
    <mergeCell ref="C15:E15"/>
    <mergeCell ref="C25:E25"/>
    <mergeCell ref="C6:E6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I5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2">
      <c r="B2" s="1" t="inlineStr">
        <is>
          <t>UAT summary</t>
        </is>
      </c>
    </row>
    <row r="3">
      <c r="B3" s="9" t="inlineStr">
        <is>
          <t>All figures are calculated from the Results, Defect Log and Survey sheets.</t>
        </is>
      </c>
    </row>
    <row r="5">
      <c r="B5" s="3" t="inlineStr">
        <is>
          <t>1. Test execution by role</t>
        </is>
      </c>
    </row>
    <row r="6" ht="22" customHeight="1">
      <c r="A6" s="7" t="n"/>
      <c r="B6" s="7" t="inlineStr">
        <is>
          <t>Role</t>
        </is>
      </c>
      <c r="C6" s="7" t="inlineStr">
        <is>
          <t>Test cases</t>
        </is>
      </c>
      <c r="D6" s="7" t="inlineStr">
        <is>
          <t>Executions</t>
        </is>
      </c>
      <c r="E6" s="7" t="inlineStr">
        <is>
          <t>Pass</t>
        </is>
      </c>
      <c r="F6" s="7" t="inlineStr">
        <is>
          <t>Fail</t>
        </is>
      </c>
      <c r="G6" s="7" t="inlineStr">
        <is>
          <t>Blocked</t>
        </is>
      </c>
      <c r="H6" s="7" t="inlineStr">
        <is>
          <t>Pass rate</t>
        </is>
      </c>
    </row>
    <row r="7">
      <c r="B7" s="10" t="inlineStr">
        <is>
          <t>General</t>
        </is>
      </c>
      <c r="C7" s="11">
        <f>COUNTIF('Test Cases'!$B$2:$B$49,B7)</f>
        <v/>
      </c>
      <c r="D7" s="11">
        <f>SUMIFS('Test Cases'!$J$2:$J$49,'Test Cases'!$B$2:$B$49,$B7)</f>
        <v/>
      </c>
      <c r="E7" s="11">
        <f>SUMIFS('Test Cases'!$K$2:$K$49,'Test Cases'!$B$2:$B$49,$B7)</f>
        <v/>
      </c>
      <c r="F7" s="11">
        <f>SUMIFS('Test Cases'!$L$2:$L$49,'Test Cases'!$B$2:$B$49,$B7)</f>
        <v/>
      </c>
      <c r="G7" s="11">
        <f>SUMIFS('Test Cases'!$M$2:$M$49,'Test Cases'!$B$2:$B$49,$B7)</f>
        <v/>
      </c>
      <c r="H7" s="12">
        <f>IF(D7=0,"-",E7/D7)</f>
        <v/>
      </c>
    </row>
    <row r="8">
      <c r="B8" s="10" t="inlineStr">
        <is>
          <t>Club Committee</t>
        </is>
      </c>
      <c r="C8" s="11">
        <f>COUNTIF('Test Cases'!$B$2:$B$49,B8)</f>
        <v/>
      </c>
      <c r="D8" s="11">
        <f>SUMIFS('Test Cases'!$J$2:$J$49,'Test Cases'!$B$2:$B$49,$B8)</f>
        <v/>
      </c>
      <c r="E8" s="11">
        <f>SUMIFS('Test Cases'!$K$2:$K$49,'Test Cases'!$B$2:$B$49,$B8)</f>
        <v/>
      </c>
      <c r="F8" s="11">
        <f>SUMIFS('Test Cases'!$L$2:$L$49,'Test Cases'!$B$2:$B$49,$B8)</f>
        <v/>
      </c>
      <c r="G8" s="11">
        <f>SUMIFS('Test Cases'!$M$2:$M$49,'Test Cases'!$B$2:$B$49,$B8)</f>
        <v/>
      </c>
      <c r="H8" s="12">
        <f>IF(D8=0,"-",E8/D8)</f>
        <v/>
      </c>
    </row>
    <row r="9">
      <c r="B9" s="10" t="inlineStr">
        <is>
          <t>HEPA Officer</t>
        </is>
      </c>
      <c r="C9" s="11">
        <f>COUNTIF('Test Cases'!$B$2:$B$49,B9)</f>
        <v/>
      </c>
      <c r="D9" s="11">
        <f>SUMIFS('Test Cases'!$J$2:$J$49,'Test Cases'!$B$2:$B$49,$B9)</f>
        <v/>
      </c>
      <c r="E9" s="11">
        <f>SUMIFS('Test Cases'!$K$2:$K$49,'Test Cases'!$B$2:$B$49,$B9)</f>
        <v/>
      </c>
      <c r="F9" s="11">
        <f>SUMIFS('Test Cases'!$L$2:$L$49,'Test Cases'!$B$2:$B$49,$B9)</f>
        <v/>
      </c>
      <c r="G9" s="11">
        <f>SUMIFS('Test Cases'!$M$2:$M$49,'Test Cases'!$B$2:$B$49,$B9)</f>
        <v/>
      </c>
      <c r="H9" s="12">
        <f>IF(D9=0,"-",E9/D9)</f>
        <v/>
      </c>
    </row>
    <row r="10">
      <c r="B10" s="10" t="inlineStr">
        <is>
          <t>Admin</t>
        </is>
      </c>
      <c r="C10" s="11">
        <f>COUNTIF('Test Cases'!$B$2:$B$49,B10)</f>
        <v/>
      </c>
      <c r="D10" s="11">
        <f>SUMIFS('Test Cases'!$J$2:$J$49,'Test Cases'!$B$2:$B$49,$B10)</f>
        <v/>
      </c>
      <c r="E10" s="11">
        <f>SUMIFS('Test Cases'!$K$2:$K$49,'Test Cases'!$B$2:$B$49,$B10)</f>
        <v/>
      </c>
      <c r="F10" s="11">
        <f>SUMIFS('Test Cases'!$L$2:$L$49,'Test Cases'!$B$2:$B$49,$B10)</f>
        <v/>
      </c>
      <c r="G10" s="11">
        <f>SUMIFS('Test Cases'!$M$2:$M$49,'Test Cases'!$B$2:$B$49,$B10)</f>
        <v/>
      </c>
      <c r="H10" s="12">
        <f>IF(D10=0,"-",E10/D10)</f>
        <v/>
      </c>
    </row>
    <row r="11">
      <c r="B11" s="13" t="inlineStr">
        <is>
          <t>All roles</t>
        </is>
      </c>
      <c r="C11" s="14">
        <f>SUM(C7:C10)</f>
        <v/>
      </c>
      <c r="D11" s="14">
        <f>SUM(D7:D10)</f>
        <v/>
      </c>
      <c r="E11" s="14">
        <f>SUM(E7:E10)</f>
        <v/>
      </c>
      <c r="F11" s="14">
        <f>SUM(F7:F10)</f>
        <v/>
      </c>
      <c r="G11" s="14">
        <f>SUM(G7:G10)</f>
        <v/>
      </c>
      <c r="H11" s="15">
        <f>IF(D11=0,"-",E11/D11)</f>
        <v/>
      </c>
    </row>
    <row r="13">
      <c r="B13" s="3" t="inlineStr">
        <is>
          <t>2. Test execution by priority</t>
        </is>
      </c>
    </row>
    <row r="14" ht="22" customHeight="1">
      <c r="A14" s="7" t="n"/>
      <c r="B14" s="7" t="inlineStr">
        <is>
          <t>Priority</t>
        </is>
      </c>
      <c r="C14" s="7" t="inlineStr">
        <is>
          <t>Test cases</t>
        </is>
      </c>
      <c r="D14" s="7" t="inlineStr">
        <is>
          <t>Executions</t>
        </is>
      </c>
      <c r="E14" s="7" t="inlineStr">
        <is>
          <t>Pass</t>
        </is>
      </c>
      <c r="F14" s="7" t="inlineStr">
        <is>
          <t>Fail</t>
        </is>
      </c>
      <c r="G14" s="7" t="inlineStr">
        <is>
          <t>Blocked</t>
        </is>
      </c>
      <c r="H14" s="7" t="inlineStr">
        <is>
          <t>Pass rate</t>
        </is>
      </c>
    </row>
    <row r="15">
      <c r="B15" s="10" t="inlineStr">
        <is>
          <t>High</t>
        </is>
      </c>
      <c r="C15" s="11">
        <f>COUNTIF('Test Cases'!$E$2:$E$49,B15)</f>
        <v/>
      </c>
      <c r="D15" s="11">
        <f>SUMIFS('Test Cases'!$J$2:$J$49,'Test Cases'!$E$2:$E$49,$B15)</f>
        <v/>
      </c>
      <c r="E15" s="11">
        <f>SUMIFS('Test Cases'!$K$2:$K$49,'Test Cases'!$E$2:$E$49,$B15)</f>
        <v/>
      </c>
      <c r="F15" s="11">
        <f>SUMIFS('Test Cases'!$L$2:$L$49,'Test Cases'!$E$2:$E$49,$B15)</f>
        <v/>
      </c>
      <c r="G15" s="11">
        <f>SUMIFS('Test Cases'!$M$2:$M$49,'Test Cases'!$E$2:$E$49,$B15)</f>
        <v/>
      </c>
      <c r="H15" s="12">
        <f>IF(D15=0,"-",E15/D15)</f>
        <v/>
      </c>
    </row>
    <row r="16">
      <c r="B16" s="10" t="inlineStr">
        <is>
          <t>Medium</t>
        </is>
      </c>
      <c r="C16" s="11">
        <f>COUNTIF('Test Cases'!$E$2:$E$49,B16)</f>
        <v/>
      </c>
      <c r="D16" s="11">
        <f>SUMIFS('Test Cases'!$J$2:$J$49,'Test Cases'!$E$2:$E$49,$B16)</f>
        <v/>
      </c>
      <c r="E16" s="11">
        <f>SUMIFS('Test Cases'!$K$2:$K$49,'Test Cases'!$E$2:$E$49,$B16)</f>
        <v/>
      </c>
      <c r="F16" s="11">
        <f>SUMIFS('Test Cases'!$L$2:$L$49,'Test Cases'!$E$2:$E$49,$B16)</f>
        <v/>
      </c>
      <c r="G16" s="11">
        <f>SUMIFS('Test Cases'!$M$2:$M$49,'Test Cases'!$E$2:$E$49,$B16)</f>
        <v/>
      </c>
      <c r="H16" s="12">
        <f>IF(D16=0,"-",E16/D16)</f>
        <v/>
      </c>
    </row>
    <row r="17">
      <c r="B17" s="10" t="inlineStr">
        <is>
          <t>Low</t>
        </is>
      </c>
      <c r="C17" s="11">
        <f>COUNTIF('Test Cases'!$E$2:$E$49,B17)</f>
        <v/>
      </c>
      <c r="D17" s="11">
        <f>SUMIFS('Test Cases'!$J$2:$J$49,'Test Cases'!$E$2:$E$49,$B17)</f>
        <v/>
      </c>
      <c r="E17" s="11">
        <f>SUMIFS('Test Cases'!$K$2:$K$49,'Test Cases'!$E$2:$E$49,$B17)</f>
        <v/>
      </c>
      <c r="F17" s="11">
        <f>SUMIFS('Test Cases'!$L$2:$L$49,'Test Cases'!$E$2:$E$49,$B17)</f>
        <v/>
      </c>
      <c r="G17" s="11">
        <f>SUMIFS('Test Cases'!$M$2:$M$49,'Test Cases'!$E$2:$E$49,$B17)</f>
        <v/>
      </c>
      <c r="H17" s="12">
        <f>IF(D17=0,"-",E17/D17)</f>
        <v/>
      </c>
    </row>
    <row r="19">
      <c r="B19" s="3" t="inlineStr">
        <is>
          <t>3. Defects</t>
        </is>
      </c>
    </row>
    <row r="20" ht="22" customHeight="1">
      <c r="A20" s="7" t="n"/>
      <c r="B20" s="7" t="inlineStr">
        <is>
          <t>Severity</t>
        </is>
      </c>
      <c r="C20" s="7" t="inlineStr">
        <is>
          <t>Reported</t>
        </is>
      </c>
      <c r="D20" s="7" t="inlineStr">
        <is>
          <t>Still open</t>
        </is>
      </c>
    </row>
    <row r="21">
      <c r="B21" s="10" t="inlineStr">
        <is>
          <t>Critical</t>
        </is>
      </c>
      <c r="C21" s="11">
        <f>COUNTIF('Defect Log'!$H$2:$H$500,B21)</f>
        <v/>
      </c>
      <c r="D21" s="11">
        <f>COUNTIFS('Defect Log'!$H$2:$H$500,B21,'Defect Log'!$I$2:$I$500,"&lt;&gt;Closed",'Defect Log'!$I$2:$I$500,"&lt;&gt;Won't fix")</f>
        <v/>
      </c>
    </row>
    <row r="22">
      <c r="B22" s="10" t="inlineStr">
        <is>
          <t>Major</t>
        </is>
      </c>
      <c r="C22" s="11">
        <f>COUNTIF('Defect Log'!$H$2:$H$500,B22)</f>
        <v/>
      </c>
      <c r="D22" s="11">
        <f>COUNTIFS('Defect Log'!$H$2:$H$500,B22,'Defect Log'!$I$2:$I$500,"&lt;&gt;Closed",'Defect Log'!$I$2:$I$500,"&lt;&gt;Won't fix")</f>
        <v/>
      </c>
    </row>
    <row r="23">
      <c r="B23" s="10" t="inlineStr">
        <is>
          <t>Minor</t>
        </is>
      </c>
      <c r="C23" s="11">
        <f>COUNTIF('Defect Log'!$H$2:$H$500,B23)</f>
        <v/>
      </c>
      <c r="D23" s="11">
        <f>COUNTIFS('Defect Log'!$H$2:$H$500,B23,'Defect Log'!$I$2:$I$500,"&lt;&gt;Closed",'Defect Log'!$I$2:$I$500,"&lt;&gt;Won't fix")</f>
        <v/>
      </c>
    </row>
    <row r="24">
      <c r="B24" s="10" t="inlineStr">
        <is>
          <t>Cosmetic</t>
        </is>
      </c>
      <c r="C24" s="11">
        <f>COUNTIF('Defect Log'!$H$2:$H$500,B24)</f>
        <v/>
      </c>
      <c r="D24" s="11">
        <f>COUNTIFS('Defect Log'!$H$2:$H$500,B24,'Defect Log'!$I$2:$I$500,"&lt;&gt;Closed",'Defect Log'!$I$2:$I$500,"&lt;&gt;Won't fix")</f>
        <v/>
      </c>
    </row>
    <row r="25">
      <c r="B25" s="9" t="inlineStr">
        <is>
          <t>'Still open' counts every defect that is not Closed or Won't fix. Rows with no severity are not counted.</t>
        </is>
      </c>
    </row>
    <row r="27">
      <c r="B27" s="3" t="inlineStr">
        <is>
          <t>4. Survey</t>
        </is>
      </c>
    </row>
    <row r="28" ht="22" customHeight="1">
      <c r="A28" s="7" t="n"/>
      <c r="B28" s="7" t="inlineStr">
        <is>
          <t>Measure</t>
        </is>
      </c>
      <c r="C28" s="7" t="inlineStr">
        <is>
          <t>Value</t>
        </is>
      </c>
    </row>
    <row r="29">
      <c r="B29" s="10" t="inlineStr">
        <is>
          <t>Respondents</t>
        </is>
      </c>
      <c r="C29" s="11">
        <f>COUNTA(Survey!$B$2:$B$500)</f>
        <v/>
      </c>
    </row>
    <row r="30">
      <c r="B30" s="10" t="inlineStr">
        <is>
          <t>Average SUS score (0 to 100)</t>
        </is>
      </c>
      <c r="C30" s="16">
        <f>IFERROR(AVERAGE(Survey!$U$2:$U$500),"No data")</f>
        <v/>
      </c>
    </row>
    <row r="31">
      <c r="B31" s="10" t="inlineStr">
        <is>
          <t>SUS rating</t>
        </is>
      </c>
      <c r="C31" s="11">
        <f>IF(ISNUMBER(C30),IF(C30&gt;=80.3,"Excellent",IF(C30&gt;=68,"Good",IF(C30&gt;=51,"Below average","Poor"))),"No data")</f>
        <v/>
      </c>
    </row>
    <row r="32">
      <c r="B32" s="10" t="inlineStr">
        <is>
          <t>Would recommend (Yes)</t>
        </is>
      </c>
      <c r="C32" s="12">
        <f>IF(C29=0,"No data",COUNTIF(Survey!$S$2:$S$500,"Yes")/C29)</f>
        <v/>
      </c>
    </row>
    <row r="33">
      <c r="B33" s="9" t="inlineStr">
        <is>
          <t>SUS bands: 80.3+ Excellent, 68+ Good (average or better), 51+ Below average, under 51 Poor (Sauro &amp; Lewis).</t>
        </is>
      </c>
    </row>
    <row r="35">
      <c r="B35" s="3" t="inlineStr">
        <is>
          <t>Average score per UAT statement (1 to 5)</t>
        </is>
      </c>
    </row>
    <row r="36" ht="22" customHeight="1">
      <c r="A36" s="7" t="n"/>
      <c r="B36" s="7" t="inlineStr">
        <is>
          <t>Statement</t>
        </is>
      </c>
      <c r="C36" s="7" t="inlineStr">
        <is>
          <t>Average</t>
        </is>
      </c>
    </row>
    <row r="37" ht="28" customHeight="1">
      <c r="B37" s="17" t="inlineStr">
        <is>
          <t>UAT 1: The system does what I expected it to do for my role.</t>
        </is>
      </c>
      <c r="C37" s="18">
        <f>IFERROR(AVERAGE(Survey!$N$2:$N$500),"No data")</f>
        <v/>
      </c>
    </row>
    <row r="38" ht="28" customHeight="1">
      <c r="B38" s="17" t="inlineStr">
        <is>
          <t>UAT 2: The messages and hints (errors, confirmations) were clear and helpful.</t>
        </is>
      </c>
      <c r="C38" s="18">
        <f>IFERROR(AVERAGE(Survey!$O$2:$O$500),"No data")</f>
        <v/>
      </c>
    </row>
    <row r="39" ht="28" customHeight="1">
      <c r="B39" s="17" t="inlineStr">
        <is>
          <t>UAT 3: I trust this system with my personal information.</t>
        </is>
      </c>
      <c r="C39" s="18">
        <f>IFERROR(AVERAGE(Survey!$P$2:$P$500),"No data")</f>
        <v/>
      </c>
    </row>
    <row r="41">
      <c r="B41" s="3" t="inlineStr">
        <is>
          <t>5. Acceptance criteria</t>
        </is>
      </c>
    </row>
    <row r="42" ht="22" customHeight="1">
      <c r="A42" s="7" t="n"/>
      <c r="B42" s="7" t="inlineStr">
        <is>
          <t>Criterion</t>
        </is>
      </c>
      <c r="C42" s="7" t="inlineStr">
        <is>
          <t>Target</t>
        </is>
      </c>
      <c r="D42" s="7" t="inlineStr">
        <is>
          <t>Actual</t>
        </is>
      </c>
      <c r="E42" s="7" t="inlineStr">
        <is>
          <t>Status</t>
        </is>
      </c>
    </row>
    <row r="43">
      <c r="B43" s="10" t="inlineStr">
        <is>
          <t>Overall pass rate</t>
        </is>
      </c>
      <c r="C43" s="19" t="n">
        <v>0.85</v>
      </c>
      <c r="D43" s="12">
        <f>H11</f>
        <v/>
      </c>
      <c r="E43" s="11">
        <f>IF(NOT(ISNUMBER(D43)),"No data yet",IF(D43&gt;=C43,"MET","NOT MET"))</f>
        <v/>
      </c>
    </row>
    <row r="44">
      <c r="B44" s="10" t="inlineStr">
        <is>
          <t>High-priority pass rate</t>
        </is>
      </c>
      <c r="C44" s="19" t="n">
        <v>0.9</v>
      </c>
      <c r="D44" s="12">
        <f>H15</f>
        <v/>
      </c>
      <c r="E44" s="11">
        <f>IF(NOT(ISNUMBER(D44)),"No data yet",IF(D44&gt;=C44,"MET","NOT MET"))</f>
        <v/>
      </c>
    </row>
    <row r="45">
      <c r="B45" s="10" t="inlineStr">
        <is>
          <t>Open Critical defects</t>
        </is>
      </c>
      <c r="C45" s="20" t="n">
        <v>0</v>
      </c>
      <c r="D45" s="21">
        <f>D21</f>
        <v/>
      </c>
      <c r="E45" s="11">
        <f>IF(NOT(ISNUMBER(D45)),"No data yet",IF(D45&lt;=C45,"MET","NOT MET"))</f>
        <v/>
      </c>
    </row>
    <row r="46">
      <c r="B46" s="10" t="inlineStr">
        <is>
          <t>Open Major defects</t>
        </is>
      </c>
      <c r="C46" s="20" t="n">
        <v>2</v>
      </c>
      <c r="D46" s="21">
        <f>D22</f>
        <v/>
      </c>
      <c r="E46" s="11">
        <f>IF(NOT(ISNUMBER(D46)),"No data yet",IF(D46&lt;=C46,"MET","NOT MET"))</f>
        <v/>
      </c>
    </row>
    <row r="47">
      <c r="B47" s="10" t="inlineStr">
        <is>
          <t>Average SUS score</t>
        </is>
      </c>
      <c r="C47" s="22" t="n">
        <v>68</v>
      </c>
      <c r="D47" s="16">
        <f>C30</f>
        <v/>
      </c>
      <c r="E47" s="11">
        <f>IF(NOT(ISNUMBER(D47)),"No data yet",IF(D47&gt;=C47,"MET","NOT MET"))</f>
        <v/>
      </c>
    </row>
    <row r="48">
      <c r="B48" s="10" t="inlineStr">
        <is>
          <t>Testers who would recommend</t>
        </is>
      </c>
      <c r="C48" s="19" t="n">
        <v>0.8</v>
      </c>
      <c r="D48" s="12">
        <f>C32</f>
        <v/>
      </c>
      <c r="E48" s="11">
        <f>IF(NOT(ISNUMBER(D48)),"No data yet",IF(D48&gt;=C48,"MET","NOT MET"))</f>
        <v/>
      </c>
    </row>
    <row r="49">
      <c r="B49" s="9" t="inlineStr">
        <is>
          <t>Targets in blue are assumptions: agree them with your supervisor before testing starts. 'Executions' counts every Pass, Fail and Blocked row.</t>
        </is>
      </c>
    </row>
    <row r="51">
      <c r="B51" s="6" t="inlineStr">
        <is>
          <t>Overall</t>
        </is>
      </c>
      <c r="C51" s="13">
        <f>IF(COUNTIF(E43:E48,"No data yet")&gt;0,"Incomplete",IF(COUNTIF(E43:E48,"NOT MET")=0,"ACCEPTED","NOT YET ACCEPTED"))</f>
        <v/>
      </c>
      <c r="D51" s="23" t="n"/>
    </row>
  </sheetData>
  <mergeCells count="1">
    <mergeCell ref="C51:D51"/>
  </mergeCells>
  <conditionalFormatting sqref="E43:E48">
    <cfRule type="cellIs" priority="1" operator="equal" dxfId="0">
      <formula>"MET"</formula>
    </cfRule>
    <cfRule type="cellIs" priority="2" operator="equal" dxfId="1">
      <formula>"NOT MET"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F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2" customWidth="1" min="3" max="3"/>
    <col width="40" customWidth="1" min="4" max="4"/>
    <col width="18" customWidth="1" min="5" max="5"/>
  </cols>
  <sheetData>
    <row r="2">
      <c r="B2" s="1" t="inlineStr">
        <is>
          <t>Tester allocation</t>
        </is>
      </c>
    </row>
    <row r="3">
      <c r="B3" s="9" t="inlineStr">
        <is>
          <t>Suggested split for 50+ testers. Edit the yellow numbers; the total follows.</t>
        </is>
      </c>
    </row>
    <row r="5" ht="24" customHeight="1">
      <c r="A5" s="7" t="n"/>
      <c r="B5" s="7" t="inlineStr">
        <is>
          <t>Role</t>
        </is>
      </c>
      <c r="C5" s="7" t="inlineStr">
        <is>
          <t>Testers</t>
        </is>
      </c>
      <c r="D5" s="7" t="inlineStr">
        <is>
          <t>Test cases to run</t>
        </is>
      </c>
      <c r="E5" s="7" t="inlineStr">
        <is>
          <t>Time per tester (min)</t>
        </is>
      </c>
    </row>
    <row r="6">
      <c r="B6" s="24" t="inlineStr">
        <is>
          <t>Club Committee</t>
        </is>
      </c>
      <c r="C6" s="25" t="n">
        <v>36</v>
      </c>
      <c r="D6" s="24" t="inlineStr">
        <is>
          <t>GEN core (4) + GEN-01, GEN-10 + CLB-01 to CLB-15</t>
        </is>
      </c>
      <c r="E6" s="24" t="inlineStr">
        <is>
          <t>45 to 60</t>
        </is>
      </c>
    </row>
    <row r="7">
      <c r="B7" s="24" t="inlineStr">
        <is>
          <t>HEPA Officer</t>
        </is>
      </c>
      <c r="C7" s="25" t="n">
        <v>10</v>
      </c>
      <c r="D7" s="24" t="inlineStr">
        <is>
          <t>GEN core (4) + HEP-01 to HEP-12</t>
        </is>
      </c>
      <c r="E7" s="24" t="inlineStr">
        <is>
          <t>45 to 55</t>
        </is>
      </c>
    </row>
    <row r="8">
      <c r="B8" s="24" t="inlineStr">
        <is>
          <t>Admin</t>
        </is>
      </c>
      <c r="C8" s="25" t="n">
        <v>4</v>
      </c>
      <c r="D8" s="24" t="inlineStr">
        <is>
          <t>GEN core (4) + ADM-01 to ADM-11</t>
        </is>
      </c>
      <c r="E8" s="24" t="inlineStr">
        <is>
          <t>40 to 50</t>
        </is>
      </c>
    </row>
    <row r="9">
      <c r="B9" s="6" t="inlineStr">
        <is>
          <t>Total</t>
        </is>
      </c>
      <c r="C9" s="26">
        <f>SUM(C6:C8)</f>
        <v/>
      </c>
      <c r="D9" s="9" t="inlineStr">
        <is>
          <t>Every tester also answers the 18-question survey (about 5 minutes).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30" customWidth="1" min="4" max="4"/>
    <col width="9" customWidth="1" min="5" max="5"/>
    <col width="9" customWidth="1" min="6" max="6"/>
    <col width="30" customWidth="1" min="7" max="7"/>
    <col width="52" customWidth="1" min="8" max="8"/>
    <col width="52" customWidth="1" min="9" max="9"/>
    <col width="9" customWidth="1" min="10" max="10"/>
    <col width="7" customWidth="1" min="11" max="11"/>
    <col width="7" customWidth="1" min="12" max="12"/>
    <col width="8" customWidth="1" min="13" max="13"/>
    <col width="9" customWidth="1" min="14" max="14"/>
  </cols>
  <sheetData>
    <row r="1" ht="34" customHeight="1">
      <c r="A1" s="7" t="inlineStr">
        <is>
          <t>TC ID</t>
        </is>
      </c>
      <c r="B1" s="7" t="inlineStr">
        <is>
          <t>Role</t>
        </is>
      </c>
      <c r="C1" s="7" t="inlineStr">
        <is>
          <t>Module</t>
        </is>
      </c>
      <c r="D1" s="7" t="inlineStr">
        <is>
          <t>Scenario</t>
        </is>
      </c>
      <c r="E1" s="7" t="inlineStr">
        <is>
          <t>Priority</t>
        </is>
      </c>
      <c r="F1" s="7" t="inlineStr">
        <is>
          <t>All testers?</t>
        </is>
      </c>
      <c r="G1" s="7" t="inlineStr">
        <is>
          <t>Preconditions</t>
        </is>
      </c>
      <c r="H1" s="7" t="inlineStr">
        <is>
          <t>Steps</t>
        </is>
      </c>
      <c r="I1" s="7" t="inlineStr">
        <is>
          <t>Expected result</t>
        </is>
      </c>
      <c r="J1" s="7" t="inlineStr">
        <is>
          <t>Executed</t>
        </is>
      </c>
      <c r="K1" s="7" t="inlineStr">
        <is>
          <t>Pass</t>
        </is>
      </c>
      <c r="L1" s="7" t="inlineStr">
        <is>
          <t>Fail</t>
        </is>
      </c>
      <c r="M1" s="7" t="inlineStr">
        <is>
          <t>Blocked</t>
        </is>
      </c>
      <c r="N1" s="7" t="inlineStr">
        <is>
          <t>Pass rate</t>
        </is>
      </c>
    </row>
    <row r="2" ht="100.5" customHeight="1">
      <c r="A2" s="27" t="inlineStr">
        <is>
          <t>GEN-01</t>
        </is>
      </c>
      <c r="B2" s="17" t="inlineStr">
        <is>
          <t>General</t>
        </is>
      </c>
      <c r="C2" s="17" t="inlineStr">
        <is>
          <t>Authentication</t>
        </is>
      </c>
      <c r="D2" s="17" t="inlineStr">
        <is>
          <t>Register a new account with email verification</t>
        </is>
      </c>
      <c r="E2" s="28" t="inlineStr">
        <is>
          <t>High</t>
        </is>
      </c>
      <c r="F2" s="28" t="inlineStr">
        <is>
          <t>No</t>
        </is>
      </c>
      <c r="G2" s="17" t="inlineStr">
        <is>
          <t>Club Committee testers only (HEPA and Admin testers get an account from the facilitator). A real email address you can open. Use dummy IDs, never your real IC number.</t>
        </is>
      </c>
      <c r="H2" s="17" t="inlineStr">
        <is>
          <t>1. Open the SEMS address and click Register.
2. Fill in every field. The role is Club Committee. Use a dummy ID such as AM2026000123.
3. Tick the Terms box and click Register.
4. Open the email and copy the 6-digit code.
5. Type the code on the verification screen.</t>
        </is>
      </c>
      <c r="I2" s="17" t="inlineStr">
        <is>
          <t>The code email arrives within about a minute. After the correct code the account is created and you land on your role's dashboard.</t>
        </is>
      </c>
      <c r="J2" s="28">
        <f>COUNTIFS(Results!$D$2:$D$2000,$A2,Results!$E$2:$E$2000,"Pass")+COUNTIFS(Results!$D$2:$D$2000,$A2,Results!$E$2:$E$2000,"Fail")+COUNTIFS(Results!$D$2:$D$2000,$A2,Results!$E$2:$E$2000,"Blocked")</f>
        <v/>
      </c>
      <c r="K2" s="28">
        <f>COUNTIFS(Results!$D$2:$D$2000,$A2,Results!$E$2:$E$2000,"Pass")</f>
        <v/>
      </c>
      <c r="L2" s="28">
        <f>COUNTIFS(Results!$D$2:$D$2000,$A2,Results!$E$2:$E$2000,"Fail")</f>
        <v/>
      </c>
      <c r="M2" s="28">
        <f>COUNTIFS(Results!$D$2:$D$2000,$A2,Results!$E$2:$E$2000,"Blocked")</f>
        <v/>
      </c>
      <c r="N2" s="29">
        <f>IF(J2=0,"-",K2/J2)</f>
        <v/>
      </c>
    </row>
    <row r="3" ht="46.5" customHeight="1">
      <c r="A3" s="30" t="inlineStr">
        <is>
          <t>GEN-02</t>
        </is>
      </c>
      <c r="B3" s="31" t="inlineStr">
        <is>
          <t>General</t>
        </is>
      </c>
      <c r="C3" s="31" t="inlineStr">
        <is>
          <t>Authentication</t>
        </is>
      </c>
      <c r="D3" s="31" t="inlineStr">
        <is>
          <t>Registration form validation</t>
        </is>
      </c>
      <c r="E3" s="32" t="inlineStr">
        <is>
          <t>High</t>
        </is>
      </c>
      <c r="F3" s="32" t="inlineStr">
        <is>
          <t>Yes</t>
        </is>
      </c>
      <c r="G3" s="31" t="inlineStr">
        <is>
          <t>None.</t>
        </is>
      </c>
      <c r="H3" s="31" t="inlineStr">
        <is>
          <t>1. Open Register and click Register with everything empty.
2. Enter an invalid email (for example abc@), a password under 8 characters and a different confirmation password.
3. Leave the Terms box unticked.</t>
        </is>
      </c>
      <c r="I3" s="31" t="inlineStr">
        <is>
          <t>Each problem is shown next to its own field in plain language. No account is created and you cannot continue until everything is fixed.</t>
        </is>
      </c>
      <c r="J3" s="28">
        <f>COUNTIFS(Results!$D$2:$D$2000,$A3,Results!$E$2:$E$2000,"Pass")+COUNTIFS(Results!$D$2:$D$2000,$A3,Results!$E$2:$E$2000,"Fail")+COUNTIFS(Results!$D$2:$D$2000,$A3,Results!$E$2:$E$2000,"Blocked")</f>
        <v/>
      </c>
      <c r="K3" s="28">
        <f>COUNTIFS(Results!$D$2:$D$2000,$A3,Results!$E$2:$E$2000,"Pass")</f>
        <v/>
      </c>
      <c r="L3" s="28">
        <f>COUNTIFS(Results!$D$2:$D$2000,$A3,Results!$E$2:$E$2000,"Fail")</f>
        <v/>
      </c>
      <c r="M3" s="28">
        <f>COUNTIFS(Results!$D$2:$D$2000,$A3,Results!$E$2:$E$2000,"Blocked")</f>
        <v/>
      </c>
      <c r="N3" s="29">
        <f>IF(J3=0,"-",K3/J3)</f>
        <v/>
      </c>
    </row>
    <row r="4" ht="73.5" customHeight="1">
      <c r="A4" s="27" t="inlineStr">
        <is>
          <t>GEN-03</t>
        </is>
      </c>
      <c r="B4" s="17" t="inlineStr">
        <is>
          <t>General</t>
        </is>
      </c>
      <c r="C4" s="17" t="inlineStr">
        <is>
          <t>Authentication</t>
        </is>
      </c>
      <c r="D4" s="17" t="inlineStr">
        <is>
          <t>Sign in, sign out and a wrong password</t>
        </is>
      </c>
      <c r="E4" s="28" t="inlineStr">
        <is>
          <t>High</t>
        </is>
      </c>
      <c r="F4" s="28" t="inlineStr">
        <is>
          <t>Yes</t>
        </is>
      </c>
      <c r="G4" s="17" t="inlineStr">
        <is>
          <t>An account you registered. Do NOT try a wrong password more than twice: five wrong attempts lock the account for 15 minutes.</t>
        </is>
      </c>
      <c r="H4" s="17" t="inlineStr">
        <is>
          <t>1. Sign in with your email and password, then log out.
2. Sign in again using your username instead of the email, then log out.
3. Try one deliberately wrong password.</t>
        </is>
      </c>
      <c r="I4" s="17" t="inlineStr">
        <is>
          <t>Email and username both work. A wrong password shows a clear error that does not reveal whether the account exists. Remember me keeps you signed in only when ticked.</t>
        </is>
      </c>
      <c r="J4" s="28">
        <f>COUNTIFS(Results!$D$2:$D$2000,$A4,Results!$E$2:$E$2000,"Pass")+COUNTIFS(Results!$D$2:$D$2000,$A4,Results!$E$2:$E$2000,"Fail")+COUNTIFS(Results!$D$2:$D$2000,$A4,Results!$E$2:$E$2000,"Blocked")</f>
        <v/>
      </c>
      <c r="K4" s="28">
        <f>COUNTIFS(Results!$D$2:$D$2000,$A4,Results!$E$2:$E$2000,"Pass")</f>
        <v/>
      </c>
      <c r="L4" s="28">
        <f>COUNTIFS(Results!$D$2:$D$2000,$A4,Results!$E$2:$E$2000,"Fail")</f>
        <v/>
      </c>
      <c r="M4" s="28">
        <f>COUNTIFS(Results!$D$2:$D$2000,$A4,Results!$E$2:$E$2000,"Blocked")</f>
        <v/>
      </c>
      <c r="N4" s="29">
        <f>IF(J4=0,"-",K4/J4)</f>
        <v/>
      </c>
    </row>
    <row r="5" ht="46.5" customHeight="1">
      <c r="A5" s="30" t="inlineStr">
        <is>
          <t>GEN-04</t>
        </is>
      </c>
      <c r="B5" s="31" t="inlineStr">
        <is>
          <t>General</t>
        </is>
      </c>
      <c r="C5" s="31" t="inlineStr">
        <is>
          <t>Authentication</t>
        </is>
      </c>
      <c r="D5" s="31" t="inlineStr">
        <is>
          <t>Forgot password</t>
        </is>
      </c>
      <c r="E5" s="32" t="inlineStr">
        <is>
          <t>Medium</t>
        </is>
      </c>
      <c r="F5" s="32" t="inlineStr">
        <is>
          <t>No</t>
        </is>
      </c>
      <c r="G5" s="31" t="inlineStr">
        <is>
          <t>An account you registered.</t>
        </is>
      </c>
      <c r="H5" s="31" t="inlineStr">
        <is>
          <t>1. On the login page click Forgot password?.
2. Enter your email, then the 6-digit code you receive.
3. Choose a new password (8+ characters) and sign in with it.</t>
        </is>
      </c>
      <c r="I5" s="31" t="inlineStr">
        <is>
          <t>Three clear steps. The code works for 10 minutes. The new password works and the old one no longer does.</t>
        </is>
      </c>
      <c r="J5" s="28">
        <f>COUNTIFS(Results!$D$2:$D$2000,$A5,Results!$E$2:$E$2000,"Pass")+COUNTIFS(Results!$D$2:$D$2000,$A5,Results!$E$2:$E$2000,"Fail")+COUNTIFS(Results!$D$2:$D$2000,$A5,Results!$E$2:$E$2000,"Blocked")</f>
        <v/>
      </c>
      <c r="K5" s="28">
        <f>COUNTIFS(Results!$D$2:$D$2000,$A5,Results!$E$2:$E$2000,"Pass")</f>
        <v/>
      </c>
      <c r="L5" s="28">
        <f>COUNTIFS(Results!$D$2:$D$2000,$A5,Results!$E$2:$E$2000,"Fail")</f>
        <v/>
      </c>
      <c r="M5" s="28">
        <f>COUNTIFS(Results!$D$2:$D$2000,$A5,Results!$E$2:$E$2000,"Blocked")</f>
        <v/>
      </c>
      <c r="N5" s="29">
        <f>IF(J5=0,"-",K5/J5)</f>
        <v/>
      </c>
    </row>
    <row r="6" ht="46.5" customHeight="1">
      <c r="A6" s="27" t="inlineStr">
        <is>
          <t>GEN-05</t>
        </is>
      </c>
      <c r="B6" s="17" t="inlineStr">
        <is>
          <t>General</t>
        </is>
      </c>
      <c r="C6" s="17" t="inlineStr">
        <is>
          <t>Authentication</t>
        </is>
      </c>
      <c r="D6" s="17" t="inlineStr">
        <is>
          <t>Wrong code and resend</t>
        </is>
      </c>
      <c r="E6" s="28" t="inlineStr">
        <is>
          <t>Medium</t>
        </is>
      </c>
      <c r="F6" s="28" t="inlineStr">
        <is>
          <t>No</t>
        </is>
      </c>
      <c r="G6" s="17" t="inlineStr">
        <is>
          <t>None.</t>
        </is>
      </c>
      <c r="H6" s="17" t="inlineStr">
        <is>
          <t>1. Start Forgot password and reach the code screen.
2. Type a wrong code and submit.
3. Click Resend code (wait for the 60-second timer first).</t>
        </is>
      </c>
      <c r="I6" s="17" t="inlineStr">
        <is>
          <t>The screen says the code is wrong and how many attempts are left (5 maximum). A resent code works and the earlier code stops working.</t>
        </is>
      </c>
      <c r="J6" s="28">
        <f>COUNTIFS(Results!$D$2:$D$2000,$A6,Results!$E$2:$E$2000,"Pass")+COUNTIFS(Results!$D$2:$D$2000,$A6,Results!$E$2:$E$2000,"Fail")+COUNTIFS(Results!$D$2:$D$2000,$A6,Results!$E$2:$E$2000,"Blocked")</f>
        <v/>
      </c>
      <c r="K6" s="28">
        <f>COUNTIFS(Results!$D$2:$D$2000,$A6,Results!$E$2:$E$2000,"Pass")</f>
        <v/>
      </c>
      <c r="L6" s="28">
        <f>COUNTIFS(Results!$D$2:$D$2000,$A6,Results!$E$2:$E$2000,"Fail")</f>
        <v/>
      </c>
      <c r="M6" s="28">
        <f>COUNTIFS(Results!$D$2:$D$2000,$A6,Results!$E$2:$E$2000,"Blocked")</f>
        <v/>
      </c>
      <c r="N6" s="29">
        <f>IF(J6=0,"-",K6/J6)</f>
        <v/>
      </c>
    </row>
    <row r="7" ht="46.5" customHeight="1">
      <c r="A7" s="30" t="inlineStr">
        <is>
          <t>GEN-06</t>
        </is>
      </c>
      <c r="B7" s="31" t="inlineStr">
        <is>
          <t>General</t>
        </is>
      </c>
      <c r="C7" s="31" t="inlineStr">
        <is>
          <t>Usability</t>
        </is>
      </c>
      <c r="D7" s="31" t="inlineStr">
        <is>
          <t>Dark mode and phone layout</t>
        </is>
      </c>
      <c r="E7" s="32" t="inlineStr">
        <is>
          <t>Medium</t>
        </is>
      </c>
      <c r="F7" s="32" t="inlineStr">
        <is>
          <t>Yes</t>
        </is>
      </c>
      <c r="G7" s="31" t="inlineStr">
        <is>
          <t>A phone, or a narrow browser window.</t>
        </is>
      </c>
      <c r="H7" s="31" t="inlineStr">
        <is>
          <t>1. Click the sun/moon icon in the top bar.
2. Open the site on your phone (or shrink the window).
3. Visit your role's main pages.</t>
        </is>
      </c>
      <c r="I7" s="31" t="inlineStr">
        <is>
          <t>The theme switches and is remembered. There is no sideways scrolling, the menu opens from the three-line icon, and all text is readable.</t>
        </is>
      </c>
      <c r="J7" s="28">
        <f>COUNTIFS(Results!$D$2:$D$2000,$A7,Results!$E$2:$E$2000,"Pass")+COUNTIFS(Results!$D$2:$D$2000,$A7,Results!$E$2:$E$2000,"Fail")+COUNTIFS(Results!$D$2:$D$2000,$A7,Results!$E$2:$E$2000,"Blocked")</f>
        <v/>
      </c>
      <c r="K7" s="28">
        <f>COUNTIFS(Results!$D$2:$D$2000,$A7,Results!$E$2:$E$2000,"Pass")</f>
        <v/>
      </c>
      <c r="L7" s="28">
        <f>COUNTIFS(Results!$D$2:$D$2000,$A7,Results!$E$2:$E$2000,"Fail")</f>
        <v/>
      </c>
      <c r="M7" s="28">
        <f>COUNTIFS(Results!$D$2:$D$2000,$A7,Results!$E$2:$E$2000,"Blocked")</f>
        <v/>
      </c>
      <c r="N7" s="29">
        <f>IF(J7=0,"-",K7/J7)</f>
        <v/>
      </c>
    </row>
    <row r="8" ht="46.5" customHeight="1">
      <c r="A8" s="27" t="inlineStr">
        <is>
          <t>GEN-07</t>
        </is>
      </c>
      <c r="B8" s="17" t="inlineStr">
        <is>
          <t>General</t>
        </is>
      </c>
      <c r="C8" s="17" t="inlineStr">
        <is>
          <t>Security</t>
        </is>
      </c>
      <c r="D8" s="17" t="inlineStr">
        <is>
          <t>Pages other roles should not see</t>
        </is>
      </c>
      <c r="E8" s="28" t="inlineStr">
        <is>
          <t>High</t>
        </is>
      </c>
      <c r="F8" s="28" t="inlineStr">
        <is>
          <t>Yes</t>
        </is>
      </c>
      <c r="G8" s="17" t="inlineStr">
        <is>
          <t>Signed in with your assigned role.</t>
        </is>
      </c>
      <c r="H8" s="17" t="inlineStr">
        <is>
          <t>1. While signed in, type the address of another role's page (for example a club member opens /admin or /hepa/review).
2. Log out, then press the browser Back button.</t>
        </is>
      </c>
      <c r="I8" s="17" t="inlineStr">
        <is>
          <t>You are sent away from pages that are not yours and no data from them is shown. After logging out, protected pages ask you to sign in.</t>
        </is>
      </c>
      <c r="J8" s="28">
        <f>COUNTIFS(Results!$D$2:$D$2000,$A8,Results!$E$2:$E$2000,"Pass")+COUNTIFS(Results!$D$2:$D$2000,$A8,Results!$E$2:$E$2000,"Fail")+COUNTIFS(Results!$D$2:$D$2000,$A8,Results!$E$2:$E$2000,"Blocked")</f>
        <v/>
      </c>
      <c r="K8" s="28">
        <f>COUNTIFS(Results!$D$2:$D$2000,$A8,Results!$E$2:$E$2000,"Pass")</f>
        <v/>
      </c>
      <c r="L8" s="28">
        <f>COUNTIFS(Results!$D$2:$D$2000,$A8,Results!$E$2:$E$2000,"Fail")</f>
        <v/>
      </c>
      <c r="M8" s="28">
        <f>COUNTIFS(Results!$D$2:$D$2000,$A8,Results!$E$2:$E$2000,"Blocked")</f>
        <v/>
      </c>
      <c r="N8" s="29">
        <f>IF(J8=0,"-",K8/J8)</f>
        <v/>
      </c>
    </row>
    <row r="9" ht="46.5" customHeight="1">
      <c r="A9" s="30" t="inlineStr">
        <is>
          <t>GEN-08</t>
        </is>
      </c>
      <c r="B9" s="31" t="inlineStr">
        <is>
          <t>General</t>
        </is>
      </c>
      <c r="C9" s="31" t="inlineStr">
        <is>
          <t>Profile</t>
        </is>
      </c>
      <c r="D9" s="31" t="inlineStr">
        <is>
          <t>Profile photo and change email</t>
        </is>
      </c>
      <c r="E9" s="32" t="inlineStr">
        <is>
          <t>Medium</t>
        </is>
      </c>
      <c r="F9" s="32" t="inlineStr">
        <is>
          <t>No</t>
        </is>
      </c>
      <c r="G9" s="31" t="inlineStr">
        <is>
          <t>Signed in.</t>
        </is>
      </c>
      <c r="H9" s="31" t="inlineStr">
        <is>
          <t>1. Open Profile, click the camera icon and upload a JPG or PNG.
2. Open Change email, enter a new address and verify it with the code.</t>
        </is>
      </c>
      <c r="I9" s="31" t="inlineStr">
        <is>
          <t>The photo appears in the top bar. The email changes only after the correct code; a wrong code is refused.</t>
        </is>
      </c>
      <c r="J9" s="28">
        <f>COUNTIFS(Results!$D$2:$D$2000,$A9,Results!$E$2:$E$2000,"Pass")+COUNTIFS(Results!$D$2:$D$2000,$A9,Results!$E$2:$E$2000,"Fail")+COUNTIFS(Results!$D$2:$D$2000,$A9,Results!$E$2:$E$2000,"Blocked")</f>
        <v/>
      </c>
      <c r="K9" s="28">
        <f>COUNTIFS(Results!$D$2:$D$2000,$A9,Results!$E$2:$E$2000,"Pass")</f>
        <v/>
      </c>
      <c r="L9" s="28">
        <f>COUNTIFS(Results!$D$2:$D$2000,$A9,Results!$E$2:$E$2000,"Fail")</f>
        <v/>
      </c>
      <c r="M9" s="28">
        <f>COUNTIFS(Results!$D$2:$D$2000,$A9,Results!$E$2:$E$2000,"Blocked")</f>
        <v/>
      </c>
      <c r="N9" s="29">
        <f>IF(J9=0,"-",K9/J9)</f>
        <v/>
      </c>
    </row>
    <row r="10" ht="87" customHeight="1">
      <c r="A10" s="27" t="inlineStr">
        <is>
          <t>GEN-09</t>
        </is>
      </c>
      <c r="B10" s="17" t="inlineStr">
        <is>
          <t>General</t>
        </is>
      </c>
      <c r="C10" s="17" t="inlineStr">
        <is>
          <t>Profile</t>
        </is>
      </c>
      <c r="D10" s="17" t="inlineStr">
        <is>
          <t>Change password</t>
        </is>
      </c>
      <c r="E10" s="28" t="inlineStr">
        <is>
          <t>Medium</t>
        </is>
      </c>
      <c r="F10" s="28" t="inlineStr">
        <is>
          <t>No</t>
        </is>
      </c>
      <c r="G10" s="17" t="inlineStr">
        <is>
          <t>Signed in with an account whose password you know. Use a throw-away password.</t>
        </is>
      </c>
      <c r="H10" s="17" t="inlineStr">
        <is>
          <t>1. Open Profile and find Change password.
2. Click Change password with the boxes empty, then type a wrong current password, then a new password that is too short or does not match its confirmation.
3. Enter the correct current password and a valid new password twice, then click Change password.
4. Sign out and sign in again with the new password.</t>
        </is>
      </c>
      <c r="I10" s="17" t="inlineStr">
        <is>
          <t>Each mistake is explained next to its box (wrong current password, fewer than 8 characters, passwords not matching, new password same as current). After a correct change a notice appears and you stay signed in. The new password works and the old one does not.</t>
        </is>
      </c>
      <c r="J10" s="28">
        <f>COUNTIFS(Results!$D$2:$D$2000,$A10,Results!$E$2:$E$2000,"Pass")+COUNTIFS(Results!$D$2:$D$2000,$A10,Results!$E$2:$E$2000,"Fail")+COUNTIFS(Results!$D$2:$D$2000,$A10,Results!$E$2:$E$2000,"Blocked")</f>
        <v/>
      </c>
      <c r="K10" s="28">
        <f>COUNTIFS(Results!$D$2:$D$2000,$A10,Results!$E$2:$E$2000,"Pass")</f>
        <v/>
      </c>
      <c r="L10" s="28">
        <f>COUNTIFS(Results!$D$2:$D$2000,$A10,Results!$E$2:$E$2000,"Fail")</f>
        <v/>
      </c>
      <c r="M10" s="28">
        <f>COUNTIFS(Results!$D$2:$D$2000,$A10,Results!$E$2:$E$2000,"Blocked")</f>
        <v/>
      </c>
      <c r="N10" s="29">
        <f>IF(J10=0,"-",K10/J10)</f>
        <v/>
      </c>
    </row>
    <row r="11" ht="60" customHeight="1">
      <c r="A11" s="30" t="inlineStr">
        <is>
          <t>GEN-10</t>
        </is>
      </c>
      <c r="B11" s="31" t="inlineStr">
        <is>
          <t>General</t>
        </is>
      </c>
      <c r="C11" s="31" t="inlineStr">
        <is>
          <t>Security</t>
        </is>
      </c>
      <c r="D11" s="31" t="inlineStr">
        <is>
          <t>Only club committees can register</t>
        </is>
      </c>
      <c r="E11" s="32" t="inlineStr">
        <is>
          <t>High</t>
        </is>
      </c>
      <c r="F11" s="32" t="inlineStr">
        <is>
          <t>No</t>
        </is>
      </c>
      <c r="G11" s="31" t="inlineStr">
        <is>
          <t>Signed out.</t>
        </is>
      </c>
      <c r="H11" s="31" t="inlineStr">
        <is>
          <t>1. Open Register and look at the Role choices.
2. Read the note under Role.</t>
        </is>
      </c>
      <c r="I11" s="31" t="inlineStr">
        <is>
          <t>Only Club Committee is offered, with a note that HEPA officer accounts are created by the administrator. There is no way to register as HEPA Officer or Admin.</t>
        </is>
      </c>
      <c r="J11" s="28">
        <f>COUNTIFS(Results!$D$2:$D$2000,$A11,Results!$E$2:$E$2000,"Pass")+COUNTIFS(Results!$D$2:$D$2000,$A11,Results!$E$2:$E$2000,"Fail")+COUNTIFS(Results!$D$2:$D$2000,$A11,Results!$E$2:$E$2000,"Blocked")</f>
        <v/>
      </c>
      <c r="K11" s="28">
        <f>COUNTIFS(Results!$D$2:$D$2000,$A11,Results!$E$2:$E$2000,"Pass")</f>
        <v/>
      </c>
      <c r="L11" s="28">
        <f>COUNTIFS(Results!$D$2:$D$2000,$A11,Results!$E$2:$E$2000,"Fail")</f>
        <v/>
      </c>
      <c r="M11" s="28">
        <f>COUNTIFS(Results!$D$2:$D$2000,$A11,Results!$E$2:$E$2000,"Blocked")</f>
        <v/>
      </c>
      <c r="N11" s="29">
        <f>IF(J11=0,"-",K11/J11)</f>
        <v/>
      </c>
    </row>
    <row r="12" ht="60" customHeight="1">
      <c r="A12" s="27" t="inlineStr">
        <is>
          <t>CLB-01</t>
        </is>
      </c>
      <c r="B12" s="17" t="inlineStr">
        <is>
          <t>Club Committee</t>
        </is>
      </c>
      <c r="C12" s="17" t="inlineStr">
        <is>
          <t>Dashboard</t>
        </is>
      </c>
      <c r="D12" s="17" t="inlineStr">
        <is>
          <t>Dashboard and statistics</t>
        </is>
      </c>
      <c r="E12" s="28" t="inlineStr">
        <is>
          <t>High</t>
        </is>
      </c>
      <c r="F12" s="28" t="inlineStr">
        <is>
          <t>No</t>
        </is>
      </c>
      <c r="G12" s="17" t="inlineStr">
        <is>
          <t>Signed in as a club committee member.</t>
        </is>
      </c>
      <c r="H12" s="17" t="inlineStr">
        <is>
          <t>1. Open the dashboard.
2. Click a statistic card such as Draft.</t>
        </is>
      </c>
      <c r="I12" s="17" t="inlineStr">
        <is>
          <t>Five statistics (Draft, Under Review, Requires Changes, Approved, Rejected) match My Proposals. Clicking a card filters the table. The Create Proposal button is easy to find.</t>
        </is>
      </c>
      <c r="J12" s="28">
        <f>COUNTIFS(Results!$D$2:$D$2000,$A12,Results!$E$2:$E$2000,"Pass")+COUNTIFS(Results!$D$2:$D$2000,$A12,Results!$E$2:$E$2000,"Fail")+COUNTIFS(Results!$D$2:$D$2000,$A12,Results!$E$2:$E$2000,"Blocked")</f>
        <v/>
      </c>
      <c r="K12" s="28">
        <f>COUNTIFS(Results!$D$2:$D$2000,$A12,Results!$E$2:$E$2000,"Pass")</f>
        <v/>
      </c>
      <c r="L12" s="28">
        <f>COUNTIFS(Results!$D$2:$D$2000,$A12,Results!$E$2:$E$2000,"Fail")</f>
        <v/>
      </c>
      <c r="M12" s="28">
        <f>COUNTIFS(Results!$D$2:$D$2000,$A12,Results!$E$2:$E$2000,"Blocked")</f>
        <v/>
      </c>
      <c r="N12" s="29">
        <f>IF(J12=0,"-",K12/J12)</f>
        <v/>
      </c>
    </row>
    <row r="13" ht="46.5" customHeight="1">
      <c r="A13" s="30" t="inlineStr">
        <is>
          <t>CLB-02</t>
        </is>
      </c>
      <c r="B13" s="31" t="inlineStr">
        <is>
          <t>Club Committee</t>
        </is>
      </c>
      <c r="C13" s="31" t="inlineStr">
        <is>
          <t>Create proposal</t>
        </is>
      </c>
      <c r="D13" s="31" t="inlineStr">
        <is>
          <t>Step validation</t>
        </is>
      </c>
      <c r="E13" s="32" t="inlineStr">
        <is>
          <t>High</t>
        </is>
      </c>
      <c r="F13" s="32" t="inlineStr">
        <is>
          <t>No</t>
        </is>
      </c>
      <c r="G13" s="31" t="inlineStr">
        <is>
          <t>None.</t>
        </is>
      </c>
      <c r="H13" s="31" t="inlineStr">
        <is>
          <t>1. Click Create Proposal.
2. Click Next without typing anything.</t>
        </is>
      </c>
      <c r="I13" s="31" t="inlineStr">
        <is>
          <t>Required fields are flagged with helpful messages, the first problem gets focus, and you cannot move on.</t>
        </is>
      </c>
      <c r="J13" s="28">
        <f>COUNTIFS(Results!$D$2:$D$2000,$A13,Results!$E$2:$E$2000,"Pass")+COUNTIFS(Results!$D$2:$D$2000,$A13,Results!$E$2:$E$2000,"Fail")+COUNTIFS(Results!$D$2:$D$2000,$A13,Results!$E$2:$E$2000,"Blocked")</f>
        <v/>
      </c>
      <c r="K13" s="28">
        <f>COUNTIFS(Results!$D$2:$D$2000,$A13,Results!$E$2:$E$2000,"Pass")</f>
        <v/>
      </c>
      <c r="L13" s="28">
        <f>COUNTIFS(Results!$D$2:$D$2000,$A13,Results!$E$2:$E$2000,"Fail")</f>
        <v/>
      </c>
      <c r="M13" s="28">
        <f>COUNTIFS(Results!$D$2:$D$2000,$A13,Results!$E$2:$E$2000,"Blocked")</f>
        <v/>
      </c>
      <c r="N13" s="29">
        <f>IF(J13=0,"-",K13/J13)</f>
        <v/>
      </c>
    </row>
    <row r="14" ht="60" customHeight="1">
      <c r="A14" s="27" t="inlineStr">
        <is>
          <t>CLB-03</t>
        </is>
      </c>
      <c r="B14" s="17" t="inlineStr">
        <is>
          <t>Club Committee</t>
        </is>
      </c>
      <c r="C14" s="17" t="inlineStr">
        <is>
          <t>Create proposal</t>
        </is>
      </c>
      <c r="D14" s="17" t="inlineStr">
        <is>
          <t>Steps 1 to 3: event, organizer, schedule</t>
        </is>
      </c>
      <c r="E14" s="28" t="inlineStr">
        <is>
          <t>High</t>
        </is>
      </c>
      <c r="F14" s="28" t="inlineStr">
        <is>
          <t>No</t>
        </is>
      </c>
      <c r="G14" s="17" t="inlineStr">
        <is>
          <t>Use the sample data sheet from your facilitator.</t>
        </is>
      </c>
      <c r="H14" s="17" t="inlineStr">
        <is>
          <t>1. Fill Event Information and click Next.
2. On Organizer Information check that Organiser (Penganjur) starts with your club name, then fill Applicant Name, Student ID, Position and Phone Number. Try a phone number such as abc first. Click Next.
3. On Venue &amp; Schedule try a past date, then an end time earlier than the start time, then correct them.</t>
        </is>
      </c>
      <c r="I14" s="17" t="inlineStr">
        <is>
          <t>An invalid phone number, a past date and an end time before the start are refused with a clear message. With valid data Next works and completed steps show a tick.</t>
        </is>
      </c>
      <c r="J14" s="28">
        <f>COUNTIFS(Results!$D$2:$D$2000,$A14,Results!$E$2:$E$2000,"Pass")+COUNTIFS(Results!$D$2:$D$2000,$A14,Results!$E$2:$E$2000,"Fail")+COUNTIFS(Results!$D$2:$D$2000,$A14,Results!$E$2:$E$2000,"Blocked")</f>
        <v/>
      </c>
      <c r="K14" s="28">
        <f>COUNTIFS(Results!$D$2:$D$2000,$A14,Results!$E$2:$E$2000,"Pass")</f>
        <v/>
      </c>
      <c r="L14" s="28">
        <f>COUNTIFS(Results!$D$2:$D$2000,$A14,Results!$E$2:$E$2000,"Fail")</f>
        <v/>
      </c>
      <c r="M14" s="28">
        <f>COUNTIFS(Results!$D$2:$D$2000,$A14,Results!$E$2:$E$2000,"Blocked")</f>
        <v/>
      </c>
      <c r="N14" s="29">
        <f>IF(J14=0,"-",K14/J14)</f>
        <v/>
      </c>
    </row>
    <row r="15" ht="46.5" customHeight="1">
      <c r="A15" s="30" t="inlineStr">
        <is>
          <t>CLB-04</t>
        </is>
      </c>
      <c r="B15" s="31" t="inlineStr">
        <is>
          <t>Club Committee</t>
        </is>
      </c>
      <c r="C15" s="31" t="inlineStr">
        <is>
          <t>Create proposal</t>
        </is>
      </c>
      <c r="D15" s="31" t="inlineStr">
        <is>
          <t>Budget table</t>
        </is>
      </c>
      <c r="E15" s="32" t="inlineStr">
        <is>
          <t>High</t>
        </is>
      </c>
      <c r="F15" s="32" t="inlineStr">
        <is>
          <t>No</t>
        </is>
      </c>
      <c r="G15" s="31" t="inlineStr">
        <is>
          <t>Reached the Budget step.</t>
        </is>
      </c>
      <c r="H15" s="31" t="inlineStr">
        <is>
          <t>1. Add at least three items with quantity and unit price.
2. Change a quantity, then remove one row.
3. Type an item price but leave its name empty.</t>
        </is>
      </c>
      <c r="I15" s="31" t="inlineStr">
        <is>
          <t>Row totals and Total Requested Budget update immediately and are arithmetically correct. The incomplete row shows an error.</t>
        </is>
      </c>
      <c r="J15" s="28">
        <f>COUNTIFS(Results!$D$2:$D$2000,$A15,Results!$E$2:$E$2000,"Pass")+COUNTIFS(Results!$D$2:$D$2000,$A15,Results!$E$2:$E$2000,"Fail")+COUNTIFS(Results!$D$2:$D$2000,$A15,Results!$E$2:$E$2000,"Blocked")</f>
        <v/>
      </c>
      <c r="K15" s="28">
        <f>COUNTIFS(Results!$D$2:$D$2000,$A15,Results!$E$2:$E$2000,"Pass")</f>
        <v/>
      </c>
      <c r="L15" s="28">
        <f>COUNTIFS(Results!$D$2:$D$2000,$A15,Results!$E$2:$E$2000,"Fail")</f>
        <v/>
      </c>
      <c r="M15" s="28">
        <f>COUNTIFS(Results!$D$2:$D$2000,$A15,Results!$E$2:$E$2000,"Blocked")</f>
        <v/>
      </c>
      <c r="N15" s="29">
        <f>IF(J15=0,"-",K15/J15)</f>
        <v/>
      </c>
    </row>
    <row r="16" ht="60" customHeight="1">
      <c r="A16" s="27" t="inlineStr">
        <is>
          <t>CLB-05</t>
        </is>
      </c>
      <c r="B16" s="17" t="inlineStr">
        <is>
          <t>Club Committee</t>
        </is>
      </c>
      <c r="C16" s="17" t="inlineStr">
        <is>
          <t>Create proposal</t>
        </is>
      </c>
      <c r="D16" s="17" t="inlineStr">
        <is>
          <t>Document upload</t>
        </is>
      </c>
      <c r="E16" s="28" t="inlineStr">
        <is>
          <t>High</t>
        </is>
      </c>
      <c r="F16" s="28" t="inlineStr">
        <is>
          <t>No</t>
        </is>
      </c>
      <c r="G16" s="17" t="inlineStr">
        <is>
          <t>Two small PDF files and one .exe or .zip file.</t>
        </is>
      </c>
      <c r="H16" s="17" t="inlineStr">
        <is>
          <t>1. Drag a PDF into the upload area.
2. Add the .exe file.
3. Use Preview, change a file's type, then Remove one.</t>
        </is>
      </c>
      <c r="I16" s="17" t="inlineStr">
        <is>
          <t>The PDF appears as a card. The unsupported file is refused with a clear message. Preview opens the file. A Proposal Document is required to continue.</t>
        </is>
      </c>
      <c r="J16" s="28">
        <f>COUNTIFS(Results!$D$2:$D$2000,$A16,Results!$E$2:$E$2000,"Pass")+COUNTIFS(Results!$D$2:$D$2000,$A16,Results!$E$2:$E$2000,"Fail")+COUNTIFS(Results!$D$2:$D$2000,$A16,Results!$E$2:$E$2000,"Blocked")</f>
        <v/>
      </c>
      <c r="K16" s="28">
        <f>COUNTIFS(Results!$D$2:$D$2000,$A16,Results!$E$2:$E$2000,"Pass")</f>
        <v/>
      </c>
      <c r="L16" s="28">
        <f>COUNTIFS(Results!$D$2:$D$2000,$A16,Results!$E$2:$E$2000,"Fail")</f>
        <v/>
      </c>
      <c r="M16" s="28">
        <f>COUNTIFS(Results!$D$2:$D$2000,$A16,Results!$E$2:$E$2000,"Blocked")</f>
        <v/>
      </c>
      <c r="N16" s="29">
        <f>IF(J16=0,"-",K16/J16)</f>
        <v/>
      </c>
    </row>
    <row r="17" ht="46.5" customHeight="1">
      <c r="A17" s="30" t="inlineStr">
        <is>
          <t>CLB-06</t>
        </is>
      </c>
      <c r="B17" s="31" t="inlineStr">
        <is>
          <t>Club Committee</t>
        </is>
      </c>
      <c r="C17" s="31" t="inlineStr">
        <is>
          <t>Create proposal</t>
        </is>
      </c>
      <c r="D17" s="31" t="inlineStr">
        <is>
          <t>Save a draft and continue later</t>
        </is>
      </c>
      <c r="E17" s="32" t="inlineStr">
        <is>
          <t>High</t>
        </is>
      </c>
      <c r="F17" s="32" t="inlineStr">
        <is>
          <t>No</t>
        </is>
      </c>
      <c r="G17" s="31" t="inlineStr">
        <is>
          <t>Part of the form filled in.</t>
        </is>
      </c>
      <c r="H17" s="31" t="inlineStr">
        <is>
          <t>1. Click Save Draft.
2. Leave the page, open My Proposals and click the pencil icon on the draft.</t>
        </is>
      </c>
      <c r="I17" s="31" t="inlineStr">
        <is>
          <t>A 'Draft saved' message appears. The draft reopens with everything you entered, and uploaded files are kept.</t>
        </is>
      </c>
      <c r="J17" s="28">
        <f>COUNTIFS(Results!$D$2:$D$2000,$A17,Results!$E$2:$E$2000,"Pass")+COUNTIFS(Results!$D$2:$D$2000,$A17,Results!$E$2:$E$2000,"Fail")+COUNTIFS(Results!$D$2:$D$2000,$A17,Results!$E$2:$E$2000,"Blocked")</f>
        <v/>
      </c>
      <c r="K17" s="28">
        <f>COUNTIFS(Results!$D$2:$D$2000,$A17,Results!$E$2:$E$2000,"Pass")</f>
        <v/>
      </c>
      <c r="L17" s="28">
        <f>COUNTIFS(Results!$D$2:$D$2000,$A17,Results!$E$2:$E$2000,"Fail")</f>
        <v/>
      </c>
      <c r="M17" s="28">
        <f>COUNTIFS(Results!$D$2:$D$2000,$A17,Results!$E$2:$E$2000,"Blocked")</f>
        <v/>
      </c>
      <c r="N17" s="29">
        <f>IF(J17=0,"-",K17/J17)</f>
        <v/>
      </c>
    </row>
    <row r="18" ht="46.5" customHeight="1">
      <c r="A18" s="27" t="inlineStr">
        <is>
          <t>CLB-07</t>
        </is>
      </c>
      <c r="B18" s="17" t="inlineStr">
        <is>
          <t>Club Committee</t>
        </is>
      </c>
      <c r="C18" s="17" t="inlineStr">
        <is>
          <t>Create proposal</t>
        </is>
      </c>
      <c r="D18" s="17" t="inlineStr">
        <is>
          <t>Review and submit</t>
        </is>
      </c>
      <c r="E18" s="28" t="inlineStr">
        <is>
          <t>High</t>
        </is>
      </c>
      <c r="F18" s="28" t="inlineStr">
        <is>
          <t>No</t>
        </is>
      </c>
      <c r="G18" s="17" t="inlineStr">
        <is>
          <t>A complete draft.</t>
        </is>
      </c>
      <c r="H18" s="17" t="inlineStr">
        <is>
          <t>1. Go to step 6 and read the summary.
2. Click Submit Proposal without ticking the confirmation box.
3. Tick the box, submit and confirm.</t>
        </is>
      </c>
      <c r="I18" s="17" t="inlineStr">
        <is>
          <t>The summary matches what you typed. You must tick the confirmation. After submitting you see a success message and the status is Submitted.</t>
        </is>
      </c>
      <c r="J18" s="28">
        <f>COUNTIFS(Results!$D$2:$D$2000,$A18,Results!$E$2:$E$2000,"Pass")+COUNTIFS(Results!$D$2:$D$2000,$A18,Results!$E$2:$E$2000,"Fail")+COUNTIFS(Results!$D$2:$D$2000,$A18,Results!$E$2:$E$2000,"Blocked")</f>
        <v/>
      </c>
      <c r="K18" s="28">
        <f>COUNTIFS(Results!$D$2:$D$2000,$A18,Results!$E$2:$E$2000,"Pass")</f>
        <v/>
      </c>
      <c r="L18" s="28">
        <f>COUNTIFS(Results!$D$2:$D$2000,$A18,Results!$E$2:$E$2000,"Fail")</f>
        <v/>
      </c>
      <c r="M18" s="28">
        <f>COUNTIFS(Results!$D$2:$D$2000,$A18,Results!$E$2:$E$2000,"Blocked")</f>
        <v/>
      </c>
      <c r="N18" s="29">
        <f>IF(J18=0,"-",K18/J18)</f>
        <v/>
      </c>
    </row>
    <row r="19" ht="33" customHeight="1">
      <c r="A19" s="30" t="inlineStr">
        <is>
          <t>CLB-08</t>
        </is>
      </c>
      <c r="B19" s="31" t="inlineStr">
        <is>
          <t>Club Committee</t>
        </is>
      </c>
      <c r="C19" s="31" t="inlineStr">
        <is>
          <t>My Proposals</t>
        </is>
      </c>
      <c r="D19" s="31" t="inlineStr">
        <is>
          <t>Search, filter, sort and pages</t>
        </is>
      </c>
      <c r="E19" s="32" t="inlineStr">
        <is>
          <t>Medium</t>
        </is>
      </c>
      <c r="F19" s="32" t="inlineStr">
        <is>
          <t>No</t>
        </is>
      </c>
      <c r="G19" s="31" t="inlineStr">
        <is>
          <t>More than 5 proposals (your facilitator seeds extra).</t>
        </is>
      </c>
      <c r="H19" s="31" t="inlineStr">
        <is>
          <t>1. Search by name or proposal ID.
2. Filter by status, change the sort order, then use the page arrows.</t>
        </is>
      </c>
      <c r="I19" s="31" t="inlineStr">
        <is>
          <t>The table reacts correctly each time and says clearly when nothing matches.</t>
        </is>
      </c>
      <c r="J19" s="28">
        <f>COUNTIFS(Results!$D$2:$D$2000,$A19,Results!$E$2:$E$2000,"Pass")+COUNTIFS(Results!$D$2:$D$2000,$A19,Results!$E$2:$E$2000,"Fail")+COUNTIFS(Results!$D$2:$D$2000,$A19,Results!$E$2:$E$2000,"Blocked")</f>
        <v/>
      </c>
      <c r="K19" s="28">
        <f>COUNTIFS(Results!$D$2:$D$2000,$A19,Results!$E$2:$E$2000,"Pass")</f>
        <v/>
      </c>
      <c r="L19" s="28">
        <f>COUNTIFS(Results!$D$2:$D$2000,$A19,Results!$E$2:$E$2000,"Fail")</f>
        <v/>
      </c>
      <c r="M19" s="28">
        <f>COUNTIFS(Results!$D$2:$D$2000,$A19,Results!$E$2:$E$2000,"Blocked")</f>
        <v/>
      </c>
      <c r="N19" s="29">
        <f>IF(J19=0,"-",K19/J19)</f>
        <v/>
      </c>
    </row>
    <row r="20" ht="33" customHeight="1">
      <c r="A20" s="27" t="inlineStr">
        <is>
          <t>CLB-09</t>
        </is>
      </c>
      <c r="B20" s="17" t="inlineStr">
        <is>
          <t>Club Committee</t>
        </is>
      </c>
      <c r="C20" s="17" t="inlineStr">
        <is>
          <t>My Proposals</t>
        </is>
      </c>
      <c r="D20" s="17" t="inlineStr">
        <is>
          <t>Delete a draft</t>
        </is>
      </c>
      <c r="E20" s="28" t="inlineStr">
        <is>
          <t>Low</t>
        </is>
      </c>
      <c r="F20" s="28" t="inlineStr">
        <is>
          <t>No</t>
        </is>
      </c>
      <c r="G20" s="17" t="inlineStr">
        <is>
          <t>A draft you created.</t>
        </is>
      </c>
      <c r="H20" s="17" t="inlineStr">
        <is>
          <t>1. Click the bin icon on a draft and confirm.</t>
        </is>
      </c>
      <c r="I20" s="17" t="inlineStr">
        <is>
          <t>A confirmation appears first. The draft disappears. Submitted proposals have no delete option.</t>
        </is>
      </c>
      <c r="J20" s="28">
        <f>COUNTIFS(Results!$D$2:$D$2000,$A20,Results!$E$2:$E$2000,"Pass")+COUNTIFS(Results!$D$2:$D$2000,$A20,Results!$E$2:$E$2000,"Fail")+COUNTIFS(Results!$D$2:$D$2000,$A20,Results!$E$2:$E$2000,"Blocked")</f>
        <v/>
      </c>
      <c r="K20" s="28">
        <f>COUNTIFS(Results!$D$2:$D$2000,$A20,Results!$E$2:$E$2000,"Pass")</f>
        <v/>
      </c>
      <c r="L20" s="28">
        <f>COUNTIFS(Results!$D$2:$D$2000,$A20,Results!$E$2:$E$2000,"Fail")</f>
        <v/>
      </c>
      <c r="M20" s="28">
        <f>COUNTIFS(Results!$D$2:$D$2000,$A20,Results!$E$2:$E$2000,"Blocked")</f>
        <v/>
      </c>
      <c r="N20" s="29">
        <f>IF(J20=0,"-",K20/J20)</f>
        <v/>
      </c>
    </row>
    <row r="21" ht="46.5" customHeight="1">
      <c r="A21" s="30" t="inlineStr">
        <is>
          <t>CLB-10</t>
        </is>
      </c>
      <c r="B21" s="31" t="inlineStr">
        <is>
          <t>Club Committee</t>
        </is>
      </c>
      <c r="C21" s="31" t="inlineStr">
        <is>
          <t>Tracking</t>
        </is>
      </c>
      <c r="D21" s="31" t="inlineStr">
        <is>
          <t>Interactive status timeline</t>
        </is>
      </c>
      <c r="E21" s="32" t="inlineStr">
        <is>
          <t>High</t>
        </is>
      </c>
      <c r="F21" s="32" t="inlineStr">
        <is>
          <t>No</t>
        </is>
      </c>
      <c r="G21" s="31" t="inlineStr">
        <is>
          <t>At least one submitted proposal.</t>
        </is>
      </c>
      <c r="H21" s="31" t="inlineStr">
        <is>
          <t>1. On the dashboard find Proposal Tracking and choose a proposal.
2. Click each stage of the timeline.</t>
        </is>
      </c>
      <c r="I21" s="31" t="inlineStr">
        <is>
          <t>Every stage shows a date, time and who did it, and the panel text matches the stage you clicked.</t>
        </is>
      </c>
      <c r="J21" s="28">
        <f>COUNTIFS(Results!$D$2:$D$2000,$A21,Results!$E$2:$E$2000,"Pass")+COUNTIFS(Results!$D$2:$D$2000,$A21,Results!$E$2:$E$2000,"Fail")+COUNTIFS(Results!$D$2:$D$2000,$A21,Results!$E$2:$E$2000,"Blocked")</f>
        <v/>
      </c>
      <c r="K21" s="28">
        <f>COUNTIFS(Results!$D$2:$D$2000,$A21,Results!$E$2:$E$2000,"Pass")</f>
        <v/>
      </c>
      <c r="L21" s="28">
        <f>COUNTIFS(Results!$D$2:$D$2000,$A21,Results!$E$2:$E$2000,"Fail")</f>
        <v/>
      </c>
      <c r="M21" s="28">
        <f>COUNTIFS(Results!$D$2:$D$2000,$A21,Results!$E$2:$E$2000,"Blocked")</f>
        <v/>
      </c>
      <c r="N21" s="29">
        <f>IF(J21=0,"-",K21/J21)</f>
        <v/>
      </c>
    </row>
    <row r="22" ht="46.5" customHeight="1">
      <c r="A22" s="27" t="inlineStr">
        <is>
          <t>CLB-11</t>
        </is>
      </c>
      <c r="B22" s="17" t="inlineStr">
        <is>
          <t>Club Committee</t>
        </is>
      </c>
      <c r="C22" s="17" t="inlineStr">
        <is>
          <t>Proposal details</t>
        </is>
      </c>
      <c r="D22" s="17" t="inlineStr">
        <is>
          <t>Proposal details page</t>
        </is>
      </c>
      <c r="E22" s="28" t="inlineStr">
        <is>
          <t>Medium</t>
        </is>
      </c>
      <c r="F22" s="28" t="inlineStr">
        <is>
          <t>No</t>
        </is>
      </c>
      <c r="G22" s="17" t="inlineStr">
        <is>
          <t>A submitted proposal with a document.</t>
        </is>
      </c>
      <c r="H22" s="17" t="inlineStr">
        <is>
          <t>1. Open a proposal from the list.
2. Check each section and use Preview and Download on a document.</t>
        </is>
      </c>
      <c r="I22" s="17" t="inlineStr">
        <is>
          <t>Event, Organizer, Schedule, Budget, Documents, Review History and Audit Activity are all present and correct. Documents open and download.</t>
        </is>
      </c>
      <c r="J22" s="28">
        <f>COUNTIFS(Results!$D$2:$D$2000,$A22,Results!$E$2:$E$2000,"Pass")+COUNTIFS(Results!$D$2:$D$2000,$A22,Results!$E$2:$E$2000,"Fail")+COUNTIFS(Results!$D$2:$D$2000,$A22,Results!$E$2:$E$2000,"Blocked")</f>
        <v/>
      </c>
      <c r="K22" s="28">
        <f>COUNTIFS(Results!$D$2:$D$2000,$A22,Results!$E$2:$E$2000,"Pass")</f>
        <v/>
      </c>
      <c r="L22" s="28">
        <f>COUNTIFS(Results!$D$2:$D$2000,$A22,Results!$E$2:$E$2000,"Fail")</f>
        <v/>
      </c>
      <c r="M22" s="28">
        <f>COUNTIFS(Results!$D$2:$D$2000,$A22,Results!$E$2:$E$2000,"Blocked")</f>
        <v/>
      </c>
      <c r="N22" s="29">
        <f>IF(J22=0,"-",K22/J22)</f>
        <v/>
      </c>
    </row>
    <row r="23" ht="46.5" customHeight="1">
      <c r="A23" s="30" t="inlineStr">
        <is>
          <t>CLB-12</t>
        </is>
      </c>
      <c r="B23" s="31" t="inlineStr">
        <is>
          <t>Club Committee</t>
        </is>
      </c>
      <c r="C23" s="31" t="inlineStr">
        <is>
          <t>Review</t>
        </is>
      </c>
      <c r="D23" s="31" t="inlineStr">
        <is>
          <t>Action Required after a query</t>
        </is>
      </c>
      <c r="E23" s="32" t="inlineStr">
        <is>
          <t>High</t>
        </is>
      </c>
      <c r="F23" s="32" t="inlineStr">
        <is>
          <t>No</t>
        </is>
      </c>
      <c r="G23" s="31" t="inlineStr">
        <is>
          <t>Your facilitator has seeded a proposal with status Query.</t>
        </is>
      </c>
      <c r="H23" s="31" t="inlineStr">
        <is>
          <t>1. Open the queried proposal.
2. Read the Action Required box and click View Query.</t>
        </is>
      </c>
      <c r="I23" s="31" t="inlineStr">
        <is>
          <t>An Action Required box shows HEPA's request. View Query shows the full text. Edit Proposal and Resubmit buttons are available.</t>
        </is>
      </c>
      <c r="J23" s="28">
        <f>COUNTIFS(Results!$D$2:$D$2000,$A23,Results!$E$2:$E$2000,"Pass")+COUNTIFS(Results!$D$2:$D$2000,$A23,Results!$E$2:$E$2000,"Fail")+COUNTIFS(Results!$D$2:$D$2000,$A23,Results!$E$2:$E$2000,"Blocked")</f>
        <v/>
      </c>
      <c r="K23" s="28">
        <f>COUNTIFS(Results!$D$2:$D$2000,$A23,Results!$E$2:$E$2000,"Pass")</f>
        <v/>
      </c>
      <c r="L23" s="28">
        <f>COUNTIFS(Results!$D$2:$D$2000,$A23,Results!$E$2:$E$2000,"Fail")</f>
        <v/>
      </c>
      <c r="M23" s="28">
        <f>COUNTIFS(Results!$D$2:$D$2000,$A23,Results!$E$2:$E$2000,"Blocked")</f>
        <v/>
      </c>
      <c r="N23" s="29">
        <f>IF(J23=0,"-",K23/J23)</f>
        <v/>
      </c>
    </row>
    <row r="24" ht="46.5" customHeight="1">
      <c r="A24" s="27" t="inlineStr">
        <is>
          <t>CLB-13</t>
        </is>
      </c>
      <c r="B24" s="17" t="inlineStr">
        <is>
          <t>Club Committee</t>
        </is>
      </c>
      <c r="C24" s="17" t="inlineStr">
        <is>
          <t>Review</t>
        </is>
      </c>
      <c r="D24" s="17" t="inlineStr">
        <is>
          <t>Edit and resubmit</t>
        </is>
      </c>
      <c r="E24" s="28" t="inlineStr">
        <is>
          <t>High</t>
        </is>
      </c>
      <c r="F24" s="28" t="inlineStr">
        <is>
          <t>No</t>
        </is>
      </c>
      <c r="G24" s="17" t="inlineStr">
        <is>
          <t>The queried proposal above.</t>
        </is>
      </c>
      <c r="H24" s="17" t="inlineStr">
        <is>
          <t>1. Click Edit Proposal and change something requested (for example add a budget row).
2. Go to the last step, tick the box and click Resubmit Proposal.</t>
        </is>
      </c>
      <c r="I24" s="17" t="inlineStr">
        <is>
          <t>HEPA's request stays visible while you edit. After resubmitting the status is Resubmitted and the version number goes up.</t>
        </is>
      </c>
      <c r="J24" s="28">
        <f>COUNTIFS(Results!$D$2:$D$2000,$A24,Results!$E$2:$E$2000,"Pass")+COUNTIFS(Results!$D$2:$D$2000,$A24,Results!$E$2:$E$2000,"Fail")+COUNTIFS(Results!$D$2:$D$2000,$A24,Results!$E$2:$E$2000,"Blocked")</f>
        <v/>
      </c>
      <c r="K24" s="28">
        <f>COUNTIFS(Results!$D$2:$D$2000,$A24,Results!$E$2:$E$2000,"Pass")</f>
        <v/>
      </c>
      <c r="L24" s="28">
        <f>COUNTIFS(Results!$D$2:$D$2000,$A24,Results!$E$2:$E$2000,"Fail")</f>
        <v/>
      </c>
      <c r="M24" s="28">
        <f>COUNTIFS(Results!$D$2:$D$2000,$A24,Results!$E$2:$E$2000,"Blocked")</f>
        <v/>
      </c>
      <c r="N24" s="29">
        <f>IF(J24=0,"-",K24/J24)</f>
        <v/>
      </c>
    </row>
    <row r="25" ht="46.5" customHeight="1">
      <c r="A25" s="30" t="inlineStr">
        <is>
          <t>CLB-14</t>
        </is>
      </c>
      <c r="B25" s="31" t="inlineStr">
        <is>
          <t>Club Committee</t>
        </is>
      </c>
      <c r="C25" s="31" t="inlineStr">
        <is>
          <t>Post-event report</t>
        </is>
      </c>
      <c r="D25" s="31" t="inlineStr">
        <is>
          <t>Submit and update a report</t>
        </is>
      </c>
      <c r="E25" s="32" t="inlineStr">
        <is>
          <t>Medium</t>
        </is>
      </c>
      <c r="F25" s="32" t="inlineStr">
        <is>
          <t>No</t>
        </is>
      </c>
      <c r="G25" s="31" t="inlineStr">
        <is>
          <t>An approved event (seeded).</t>
        </is>
      </c>
      <c r="H25" s="31" t="inlineStr">
        <is>
          <t>1. Open Post-Event Report and click Submit report.
2. Try saving empty, then fill attendance, spending and summary and save.
3. Open the same report again and update it.</t>
        </is>
      </c>
      <c r="I25" s="31" t="inlineStr">
        <is>
          <t>Empty fields are flagged. After saving, the event moves to Submitted reports. The update is saved.</t>
        </is>
      </c>
      <c r="J25" s="28">
        <f>COUNTIFS(Results!$D$2:$D$2000,$A25,Results!$E$2:$E$2000,"Pass")+COUNTIFS(Results!$D$2:$D$2000,$A25,Results!$E$2:$E$2000,"Fail")+COUNTIFS(Results!$D$2:$D$2000,$A25,Results!$E$2:$E$2000,"Blocked")</f>
        <v/>
      </c>
      <c r="K25" s="28">
        <f>COUNTIFS(Results!$D$2:$D$2000,$A25,Results!$E$2:$E$2000,"Pass")</f>
        <v/>
      </c>
      <c r="L25" s="28">
        <f>COUNTIFS(Results!$D$2:$D$2000,$A25,Results!$E$2:$E$2000,"Fail")</f>
        <v/>
      </c>
      <c r="M25" s="28">
        <f>COUNTIFS(Results!$D$2:$D$2000,$A25,Results!$E$2:$E$2000,"Blocked")</f>
        <v/>
      </c>
      <c r="N25" s="29">
        <f>IF(J25=0,"-",K25/J25)</f>
        <v/>
      </c>
    </row>
    <row r="26" ht="46.5" customHeight="1">
      <c r="A26" s="27" t="inlineStr">
        <is>
          <t>CLB-15</t>
        </is>
      </c>
      <c r="B26" s="17" t="inlineStr">
        <is>
          <t>Club Committee</t>
        </is>
      </c>
      <c r="C26" s="17" t="inlineStr">
        <is>
          <t>Notifications</t>
        </is>
      </c>
      <c r="D26" s="17" t="inlineStr">
        <is>
          <t>Notifications for HEPA decisions</t>
        </is>
      </c>
      <c r="E26" s="28" t="inlineStr">
        <is>
          <t>Medium</t>
        </is>
      </c>
      <c r="F26" s="28" t="inlineStr">
        <is>
          <t>No</t>
        </is>
      </c>
      <c r="G26" s="17" t="inlineStr">
        <is>
          <t>HEPA has acted on one of your proposals.</t>
        </is>
      </c>
      <c r="H26" s="17" t="inlineStr">
        <is>
          <t>1. Click the bell icon and open a notification.</t>
        </is>
      </c>
      <c r="I26" s="17" t="inlineStr">
        <is>
          <t>Decisions (approved, rejected, query) are listed and open the right proposal. The badge clears after viewing.</t>
        </is>
      </c>
      <c r="J26" s="28">
        <f>COUNTIFS(Results!$D$2:$D$2000,$A26,Results!$E$2:$E$2000,"Pass")+COUNTIFS(Results!$D$2:$D$2000,$A26,Results!$E$2:$E$2000,"Fail")+COUNTIFS(Results!$D$2:$D$2000,$A26,Results!$E$2:$E$2000,"Blocked")</f>
        <v/>
      </c>
      <c r="K26" s="28">
        <f>COUNTIFS(Results!$D$2:$D$2000,$A26,Results!$E$2:$E$2000,"Pass")</f>
        <v/>
      </c>
      <c r="L26" s="28">
        <f>COUNTIFS(Results!$D$2:$D$2000,$A26,Results!$E$2:$E$2000,"Fail")</f>
        <v/>
      </c>
      <c r="M26" s="28">
        <f>COUNTIFS(Results!$D$2:$D$2000,$A26,Results!$E$2:$E$2000,"Blocked")</f>
        <v/>
      </c>
      <c r="N26" s="29">
        <f>IF(J26=0,"-",K26/J26)</f>
        <v/>
      </c>
    </row>
    <row r="27" ht="60" customHeight="1">
      <c r="A27" s="30" t="inlineStr">
        <is>
          <t>HEP-01</t>
        </is>
      </c>
      <c r="B27" s="31" t="inlineStr">
        <is>
          <t>HEPA Officer</t>
        </is>
      </c>
      <c r="C27" s="31" t="inlineStr">
        <is>
          <t>Dashboard</t>
        </is>
      </c>
      <c r="D27" s="31" t="inlineStr">
        <is>
          <t>Dashboard overview</t>
        </is>
      </c>
      <c r="E27" s="32" t="inlineStr">
        <is>
          <t>Medium</t>
        </is>
      </c>
      <c r="F27" s="32" t="inlineStr">
        <is>
          <t>No</t>
        </is>
      </c>
      <c r="G27" s="31" t="inlineStr">
        <is>
          <t>Signed in as a HEPA officer.</t>
        </is>
      </c>
      <c r="H27" s="31" t="inlineStr">
        <is>
          <t>1. Open the dashboard and compare the numbers with Proposal Review.</t>
        </is>
      </c>
      <c r="I27" s="31" t="inlineStr">
        <is>
          <t>Pending Review, Queried, Approved This Month and Rejected This Month are shown and make sense. Needs your attention lists the most urgent proposals.</t>
        </is>
      </c>
      <c r="J27" s="28">
        <f>COUNTIFS(Results!$D$2:$D$2000,$A27,Results!$E$2:$E$2000,"Pass")+COUNTIFS(Results!$D$2:$D$2000,$A27,Results!$E$2:$E$2000,"Fail")+COUNTIFS(Results!$D$2:$D$2000,$A27,Results!$E$2:$E$2000,"Blocked")</f>
        <v/>
      </c>
      <c r="K27" s="28">
        <f>COUNTIFS(Results!$D$2:$D$2000,$A27,Results!$E$2:$E$2000,"Pass")</f>
        <v/>
      </c>
      <c r="L27" s="28">
        <f>COUNTIFS(Results!$D$2:$D$2000,$A27,Results!$E$2:$E$2000,"Fail")</f>
        <v/>
      </c>
      <c r="M27" s="28">
        <f>COUNTIFS(Results!$D$2:$D$2000,$A27,Results!$E$2:$E$2000,"Blocked")</f>
        <v/>
      </c>
      <c r="N27" s="29">
        <f>IF(J27=0,"-",K27/J27)</f>
        <v/>
      </c>
    </row>
    <row r="28" ht="60" customHeight="1">
      <c r="A28" s="27" t="inlineStr">
        <is>
          <t>HEP-02</t>
        </is>
      </c>
      <c r="B28" s="17" t="inlineStr">
        <is>
          <t>HEPA Officer</t>
        </is>
      </c>
      <c r="C28" s="17" t="inlineStr">
        <is>
          <t>Proposal review</t>
        </is>
      </c>
      <c r="D28" s="17" t="inlineStr">
        <is>
          <t>Review queue and filters</t>
        </is>
      </c>
      <c r="E28" s="28" t="inlineStr">
        <is>
          <t>High</t>
        </is>
      </c>
      <c r="F28" s="28" t="inlineStr">
        <is>
          <t>No</t>
        </is>
      </c>
      <c r="G28" s="17" t="inlineStr">
        <is>
          <t>Several pending proposals (seeded).</t>
        </is>
      </c>
      <c r="H28" s="17" t="inlineStr">
        <is>
          <t>1. Open Proposal Review.
2. Use search, status, budget, event date and sort.</t>
        </is>
      </c>
      <c r="I28" s="17" t="inlineStr">
        <is>
          <t>Cards show event, club, date, budget, submission date, status and a priority badge with a reason. Every filter narrows the list correctly and Clear filters resets it.</t>
        </is>
      </c>
      <c r="J28" s="28">
        <f>COUNTIFS(Results!$D$2:$D$2000,$A28,Results!$E$2:$E$2000,"Pass")+COUNTIFS(Results!$D$2:$D$2000,$A28,Results!$E$2:$E$2000,"Fail")+COUNTIFS(Results!$D$2:$D$2000,$A28,Results!$E$2:$E$2000,"Blocked")</f>
        <v/>
      </c>
      <c r="K28" s="28">
        <f>COUNTIFS(Results!$D$2:$D$2000,$A28,Results!$E$2:$E$2000,"Pass")</f>
        <v/>
      </c>
      <c r="L28" s="28">
        <f>COUNTIFS(Results!$D$2:$D$2000,$A28,Results!$E$2:$E$2000,"Fail")</f>
        <v/>
      </c>
      <c r="M28" s="28">
        <f>COUNTIFS(Results!$D$2:$D$2000,$A28,Results!$E$2:$E$2000,"Blocked")</f>
        <v/>
      </c>
      <c r="N28" s="29">
        <f>IF(J28=0,"-",K28/J28)</f>
        <v/>
      </c>
    </row>
    <row r="29" ht="46.5" customHeight="1">
      <c r="A29" s="30" t="inlineStr">
        <is>
          <t>HEP-03</t>
        </is>
      </c>
      <c r="B29" s="31" t="inlineStr">
        <is>
          <t>HEPA Officer</t>
        </is>
      </c>
      <c r="C29" s="31" t="inlineStr">
        <is>
          <t>Proposal review</t>
        </is>
      </c>
      <c r="D29" s="31" t="inlineStr">
        <is>
          <t>Open a proposal in the side panel</t>
        </is>
      </c>
      <c r="E29" s="32" t="inlineStr">
        <is>
          <t>High</t>
        </is>
      </c>
      <c r="F29" s="32" t="inlineStr">
        <is>
          <t>No</t>
        </is>
      </c>
      <c r="G29" s="31" t="inlineStr">
        <is>
          <t>A proposal with status Submitted.</t>
        </is>
      </c>
      <c r="H29" s="31" t="inlineStr">
        <is>
          <t>1. Click a card or its Review Proposal button.
2. Scroll through the panel, then close it and look at the card again.</t>
        </is>
      </c>
      <c r="I29" s="31" t="inlineStr">
        <is>
          <t>The panel shows facts, budget, documents and history. The status changes to Under Review automatically.</t>
        </is>
      </c>
      <c r="J29" s="28">
        <f>COUNTIFS(Results!$D$2:$D$2000,$A29,Results!$E$2:$E$2000,"Pass")+COUNTIFS(Results!$D$2:$D$2000,$A29,Results!$E$2:$E$2000,"Fail")+COUNTIFS(Results!$D$2:$D$2000,$A29,Results!$E$2:$E$2000,"Blocked")</f>
        <v/>
      </c>
      <c r="K29" s="28">
        <f>COUNTIFS(Results!$D$2:$D$2000,$A29,Results!$E$2:$E$2000,"Pass")</f>
        <v/>
      </c>
      <c r="L29" s="28">
        <f>COUNTIFS(Results!$D$2:$D$2000,$A29,Results!$E$2:$E$2000,"Fail")</f>
        <v/>
      </c>
      <c r="M29" s="28">
        <f>COUNTIFS(Results!$D$2:$D$2000,$A29,Results!$E$2:$E$2000,"Blocked")</f>
        <v/>
      </c>
      <c r="N29" s="29">
        <f>IF(J29=0,"-",K29/J29)</f>
        <v/>
      </c>
    </row>
    <row r="30" ht="33" customHeight="1">
      <c r="A30" s="27" t="inlineStr">
        <is>
          <t>HEP-04</t>
        </is>
      </c>
      <c r="B30" s="17" t="inlineStr">
        <is>
          <t>HEPA Officer</t>
        </is>
      </c>
      <c r="C30" s="17" t="inlineStr">
        <is>
          <t>Proposal review</t>
        </is>
      </c>
      <c r="D30" s="17" t="inlineStr">
        <is>
          <t>Preview a document</t>
        </is>
      </c>
      <c r="E30" s="28" t="inlineStr">
        <is>
          <t>Medium</t>
        </is>
      </c>
      <c r="F30" s="28" t="inlineStr">
        <is>
          <t>No</t>
        </is>
      </c>
      <c r="G30" s="17" t="inlineStr">
        <is>
          <t>A proposal with an uploaded PDF.</t>
        </is>
      </c>
      <c r="H30" s="17" t="inlineStr">
        <is>
          <t>1. In the panel click Preview on a document.</t>
        </is>
      </c>
      <c r="I30" s="17" t="inlineStr">
        <is>
          <t>The document opens in a new tab and is readable.</t>
        </is>
      </c>
      <c r="J30" s="28">
        <f>COUNTIFS(Results!$D$2:$D$2000,$A30,Results!$E$2:$E$2000,"Pass")+COUNTIFS(Results!$D$2:$D$2000,$A30,Results!$E$2:$E$2000,"Fail")+COUNTIFS(Results!$D$2:$D$2000,$A30,Results!$E$2:$E$2000,"Blocked")</f>
        <v/>
      </c>
      <c r="K30" s="28">
        <f>COUNTIFS(Results!$D$2:$D$2000,$A30,Results!$E$2:$E$2000,"Pass")</f>
        <v/>
      </c>
      <c r="L30" s="28">
        <f>COUNTIFS(Results!$D$2:$D$2000,$A30,Results!$E$2:$E$2000,"Fail")</f>
        <v/>
      </c>
      <c r="M30" s="28">
        <f>COUNTIFS(Results!$D$2:$D$2000,$A30,Results!$E$2:$E$2000,"Blocked")</f>
        <v/>
      </c>
      <c r="N30" s="29">
        <f>IF(J30=0,"-",K30/J30)</f>
        <v/>
      </c>
    </row>
    <row r="31" ht="46.5" customHeight="1">
      <c r="A31" s="30" t="inlineStr">
        <is>
          <t>HEP-05</t>
        </is>
      </c>
      <c r="B31" s="31" t="inlineStr">
        <is>
          <t>HEPA Officer</t>
        </is>
      </c>
      <c r="C31" s="31" t="inlineStr">
        <is>
          <t>Proposal review</t>
        </is>
      </c>
      <c r="D31" s="31" t="inlineStr">
        <is>
          <t>Move through the queue</t>
        </is>
      </c>
      <c r="E31" s="32" t="inlineStr">
        <is>
          <t>Medium</t>
        </is>
      </c>
      <c r="F31" s="32" t="inlineStr">
        <is>
          <t>No</t>
        </is>
      </c>
      <c r="G31" s="31" t="inlineStr">
        <is>
          <t>At least three proposals in the list.</t>
        </is>
      </c>
      <c r="H31" s="31" t="inlineStr">
        <is>
          <t>1. Open a proposal and use the Next and Previous arrows in the panel header.</t>
        </is>
      </c>
      <c r="I31" s="31" t="inlineStr">
        <is>
          <t>The panel switches proposals and shows the position (for example 2 of 5). Arrows are disabled at either end.</t>
        </is>
      </c>
      <c r="J31" s="28">
        <f>COUNTIFS(Results!$D$2:$D$2000,$A31,Results!$E$2:$E$2000,"Pass")+COUNTIFS(Results!$D$2:$D$2000,$A31,Results!$E$2:$E$2000,"Fail")+COUNTIFS(Results!$D$2:$D$2000,$A31,Results!$E$2:$E$2000,"Blocked")</f>
        <v/>
      </c>
      <c r="K31" s="28">
        <f>COUNTIFS(Results!$D$2:$D$2000,$A31,Results!$E$2:$E$2000,"Pass")</f>
        <v/>
      </c>
      <c r="L31" s="28">
        <f>COUNTIFS(Results!$D$2:$D$2000,$A31,Results!$E$2:$E$2000,"Fail")</f>
        <v/>
      </c>
      <c r="M31" s="28">
        <f>COUNTIFS(Results!$D$2:$D$2000,$A31,Results!$E$2:$E$2000,"Blocked")</f>
        <v/>
      </c>
      <c r="N31" s="29">
        <f>IF(J31=0,"-",K31/J31)</f>
        <v/>
      </c>
    </row>
    <row r="32" ht="60" customHeight="1">
      <c r="A32" s="27" t="inlineStr">
        <is>
          <t>HEP-06</t>
        </is>
      </c>
      <c r="B32" s="17" t="inlineStr">
        <is>
          <t>HEPA Officer</t>
        </is>
      </c>
      <c r="C32" s="17" t="inlineStr">
        <is>
          <t>Decisions</t>
        </is>
      </c>
      <c r="D32" s="17" t="inlineStr">
        <is>
          <t>Query a proposal</t>
        </is>
      </c>
      <c r="E32" s="28" t="inlineStr">
        <is>
          <t>High</t>
        </is>
      </c>
      <c r="F32" s="28" t="inlineStr">
        <is>
          <t>No</t>
        </is>
      </c>
      <c r="G32" s="17" t="inlineStr">
        <is>
          <t>A pending proposal.</t>
        </is>
      </c>
      <c r="H32" s="17" t="inlineStr">
        <is>
          <t>1. Click Query.
2. Check the pop-up shows proposal, club and ID. Try sending with an empty box.
3. Write what needs changing and click Send Query.</t>
        </is>
      </c>
      <c r="I32" s="17" t="inlineStr">
        <is>
          <t>Sending empty is blocked with a message. After sending, a green notice confirms it, the status becomes Query, and the panel moves to the next proposal.</t>
        </is>
      </c>
      <c r="J32" s="28">
        <f>COUNTIFS(Results!$D$2:$D$2000,$A32,Results!$E$2:$E$2000,"Pass")+COUNTIFS(Results!$D$2:$D$2000,$A32,Results!$E$2:$E$2000,"Fail")+COUNTIFS(Results!$D$2:$D$2000,$A32,Results!$E$2:$E$2000,"Blocked")</f>
        <v/>
      </c>
      <c r="K32" s="28">
        <f>COUNTIFS(Results!$D$2:$D$2000,$A32,Results!$E$2:$E$2000,"Pass")</f>
        <v/>
      </c>
      <c r="L32" s="28">
        <f>COUNTIFS(Results!$D$2:$D$2000,$A32,Results!$E$2:$E$2000,"Fail")</f>
        <v/>
      </c>
      <c r="M32" s="28">
        <f>COUNTIFS(Results!$D$2:$D$2000,$A32,Results!$E$2:$E$2000,"Blocked")</f>
        <v/>
      </c>
      <c r="N32" s="29">
        <f>IF(J32=0,"-",K32/J32)</f>
        <v/>
      </c>
    </row>
    <row r="33" ht="46.5" customHeight="1">
      <c r="A33" s="30" t="inlineStr">
        <is>
          <t>HEP-07</t>
        </is>
      </c>
      <c r="B33" s="31" t="inlineStr">
        <is>
          <t>HEPA Officer</t>
        </is>
      </c>
      <c r="C33" s="31" t="inlineStr">
        <is>
          <t>Decisions</t>
        </is>
      </c>
      <c r="D33" s="31" t="inlineStr">
        <is>
          <t>Reject a proposal</t>
        </is>
      </c>
      <c r="E33" s="32" t="inlineStr">
        <is>
          <t>High</t>
        </is>
      </c>
      <c r="F33" s="32" t="inlineStr">
        <is>
          <t>No</t>
        </is>
      </c>
      <c r="G33" s="31" t="inlineStr">
        <is>
          <t>A pending proposal.</t>
        </is>
      </c>
      <c r="H33" s="31" t="inlineStr">
        <is>
          <t>1. Click Reject.
2. Try to confirm without a reason, then enter a reason and click Reject Proposal.</t>
        </is>
      </c>
      <c r="I33" s="31" t="inlineStr">
        <is>
          <t>A reason is required. A confirmation notice appears and the status becomes Rejected. The club can read your reason.</t>
        </is>
      </c>
      <c r="J33" s="28">
        <f>COUNTIFS(Results!$D$2:$D$2000,$A33,Results!$E$2:$E$2000,"Pass")+COUNTIFS(Results!$D$2:$D$2000,$A33,Results!$E$2:$E$2000,"Fail")+COUNTIFS(Results!$D$2:$D$2000,$A33,Results!$E$2:$E$2000,"Blocked")</f>
        <v/>
      </c>
      <c r="K33" s="28">
        <f>COUNTIFS(Results!$D$2:$D$2000,$A33,Results!$E$2:$E$2000,"Pass")</f>
        <v/>
      </c>
      <c r="L33" s="28">
        <f>COUNTIFS(Results!$D$2:$D$2000,$A33,Results!$E$2:$E$2000,"Fail")</f>
        <v/>
      </c>
      <c r="M33" s="28">
        <f>COUNTIFS(Results!$D$2:$D$2000,$A33,Results!$E$2:$E$2000,"Blocked")</f>
        <v/>
      </c>
      <c r="N33" s="29">
        <f>IF(J33=0,"-",K33/J33)</f>
        <v/>
      </c>
    </row>
    <row r="34" ht="73.5" customHeight="1">
      <c r="A34" s="27" t="inlineStr">
        <is>
          <t>HEP-08</t>
        </is>
      </c>
      <c r="B34" s="17" t="inlineStr">
        <is>
          <t>HEPA Officer</t>
        </is>
      </c>
      <c r="C34" s="17" t="inlineStr">
        <is>
          <t>Decisions</t>
        </is>
      </c>
      <c r="D34" s="17" t="inlineStr">
        <is>
          <t>Approve with the three-signature confirmation</t>
        </is>
      </c>
      <c r="E34" s="28" t="inlineStr">
        <is>
          <t>High</t>
        </is>
      </c>
      <c r="F34" s="28" t="inlineStr">
        <is>
          <t>No</t>
        </is>
      </c>
      <c r="G34" s="17" t="inlineStr">
        <is>
          <t>A pending proposal.</t>
        </is>
      </c>
      <c r="H34" s="17" t="inlineStr">
        <is>
          <t>1. Click Approve and read the summary.
2. Try to approve with none, then only two, of the three signature boxes ticked (Penasihat / BHEP, Setiausaha ATAP Kolej, Pengarah).
3. Tick all three and click Approve Proposal.
4. Open the Calendar, then the proposal's full page.</t>
        </is>
      </c>
      <c r="I34" s="17" t="inlineStr">
        <is>
          <t>The Approve button stays disabled until all three boxes are ticked. After approval a notice appears, the event shows on the Calendar, and the full page says who confirmed the signatures and when.</t>
        </is>
      </c>
      <c r="J34" s="28">
        <f>COUNTIFS(Results!$D$2:$D$2000,$A34,Results!$E$2:$E$2000,"Pass")+COUNTIFS(Results!$D$2:$D$2000,$A34,Results!$E$2:$E$2000,"Fail")+COUNTIFS(Results!$D$2:$D$2000,$A34,Results!$E$2:$E$2000,"Blocked")</f>
        <v/>
      </c>
      <c r="K34" s="28">
        <f>COUNTIFS(Results!$D$2:$D$2000,$A34,Results!$E$2:$E$2000,"Pass")</f>
        <v/>
      </c>
      <c r="L34" s="28">
        <f>COUNTIFS(Results!$D$2:$D$2000,$A34,Results!$E$2:$E$2000,"Fail")</f>
        <v/>
      </c>
      <c r="M34" s="28">
        <f>COUNTIFS(Results!$D$2:$D$2000,$A34,Results!$E$2:$E$2000,"Blocked")</f>
        <v/>
      </c>
      <c r="N34" s="29">
        <f>IF(J34=0,"-",K34/J34)</f>
        <v/>
      </c>
    </row>
    <row r="35" ht="87" customHeight="1">
      <c r="A35" s="30" t="inlineStr">
        <is>
          <t>HEP-12</t>
        </is>
      </c>
      <c r="B35" s="31" t="inlineStr">
        <is>
          <t>HEPA Officer</t>
        </is>
      </c>
      <c r="C35" s="31" t="inlineStr">
        <is>
          <t>Official form</t>
        </is>
      </c>
      <c r="D35" s="31" t="inlineStr">
        <is>
          <t>Generate the BHEP.ML.01.04A-00 form</t>
        </is>
      </c>
      <c r="E35" s="32" t="inlineStr">
        <is>
          <t>High</t>
        </is>
      </c>
      <c r="F35" s="32" t="inlineStr">
        <is>
          <t>No</t>
        </is>
      </c>
      <c r="G35" s="31" t="inlineStr">
        <is>
          <t>A submitted proposal with an itemised budget.</t>
        </is>
      </c>
      <c r="H35" s="31" t="inlineStr">
        <is>
          <t>1. On the proposal (full page or side panel) click Generate form.
2. Compare items 1 to 11 with the proposal: Nama Pemohon, No ID Pelajar, Penganjur, Tarikh and Lokasi Program, Bil Peserta, Objektif, Jawatan, No. H/P and the Tarikh beside item 11.
3. Check the Untuk Kegunaan Pejabat box, then page 2 (Lampiran A).
4. Click Print / Save as PDF and save it as a PDF.</t>
        </is>
      </c>
      <c r="I35" s="31" t="inlineStr">
        <is>
          <t>The form matches the paper original and the proposal's details. Item 11's date is the date the club submitted. The office box (including Bajet Dimohon) is blank for signatures. Lampiran A lists the budget items and the correct total. The PDF has two A4 pages with no menus or buttons.</t>
        </is>
      </c>
      <c r="J35" s="28">
        <f>COUNTIFS(Results!$D$2:$D$2000,$A35,Results!$E$2:$E$2000,"Pass")+COUNTIFS(Results!$D$2:$D$2000,$A35,Results!$E$2:$E$2000,"Fail")+COUNTIFS(Results!$D$2:$D$2000,$A35,Results!$E$2:$E$2000,"Blocked")</f>
        <v/>
      </c>
      <c r="K35" s="28">
        <f>COUNTIFS(Results!$D$2:$D$2000,$A35,Results!$E$2:$E$2000,"Pass")</f>
        <v/>
      </c>
      <c r="L35" s="28">
        <f>COUNTIFS(Results!$D$2:$D$2000,$A35,Results!$E$2:$E$2000,"Fail")</f>
        <v/>
      </c>
      <c r="M35" s="28">
        <f>COUNTIFS(Results!$D$2:$D$2000,$A35,Results!$E$2:$E$2000,"Blocked")</f>
        <v/>
      </c>
      <c r="N35" s="29">
        <f>IF(J35=0,"-",K35/J35)</f>
        <v/>
      </c>
    </row>
    <row r="36" ht="33" customHeight="1">
      <c r="A36" s="27" t="inlineStr">
        <is>
          <t>HEP-09</t>
        </is>
      </c>
      <c r="B36" s="17" t="inlineStr">
        <is>
          <t>HEPA Officer</t>
        </is>
      </c>
      <c r="C36" s="17" t="inlineStr">
        <is>
          <t>Proposal details</t>
        </is>
      </c>
      <c r="D36" s="17" t="inlineStr">
        <is>
          <t>Full proposal page</t>
        </is>
      </c>
      <c r="E36" s="28" t="inlineStr">
        <is>
          <t>Medium</t>
        </is>
      </c>
      <c r="F36" s="28" t="inlineStr">
        <is>
          <t>No</t>
        </is>
      </c>
      <c r="G36" s="17" t="inlineStr">
        <is>
          <t>A decided proposal.</t>
        </is>
      </c>
      <c r="H36" s="17" t="inlineStr">
        <is>
          <t>1. Open the proposal's full page and read the timeline, review history and audit activity.</t>
        </is>
      </c>
      <c r="I36" s="17" t="inlineStr">
        <is>
          <t>Every stage shows who did it and when. Actions you took are recorded.</t>
        </is>
      </c>
      <c r="J36" s="28">
        <f>COUNTIFS(Results!$D$2:$D$2000,$A36,Results!$E$2:$E$2000,"Pass")+COUNTIFS(Results!$D$2:$D$2000,$A36,Results!$E$2:$E$2000,"Fail")+COUNTIFS(Results!$D$2:$D$2000,$A36,Results!$E$2:$E$2000,"Blocked")</f>
        <v/>
      </c>
      <c r="K36" s="28">
        <f>COUNTIFS(Results!$D$2:$D$2000,$A36,Results!$E$2:$E$2000,"Pass")</f>
        <v/>
      </c>
      <c r="L36" s="28">
        <f>COUNTIFS(Results!$D$2:$D$2000,$A36,Results!$E$2:$E$2000,"Fail")</f>
        <v/>
      </c>
      <c r="M36" s="28">
        <f>COUNTIFS(Results!$D$2:$D$2000,$A36,Results!$E$2:$E$2000,"Blocked")</f>
        <v/>
      </c>
      <c r="N36" s="29">
        <f>IF(J36=0,"-",K36/J36)</f>
        <v/>
      </c>
    </row>
    <row r="37" ht="46.5" customHeight="1">
      <c r="A37" s="30" t="inlineStr">
        <is>
          <t>HEP-10</t>
        </is>
      </c>
      <c r="B37" s="31" t="inlineStr">
        <is>
          <t>HEPA Officer</t>
        </is>
      </c>
      <c r="C37" s="31" t="inlineStr">
        <is>
          <t>Approved events</t>
        </is>
      </c>
      <c r="D37" s="31" t="inlineStr">
        <is>
          <t>Approved events list</t>
        </is>
      </c>
      <c r="E37" s="32" t="inlineStr">
        <is>
          <t>Medium</t>
        </is>
      </c>
      <c r="F37" s="32" t="inlineStr">
        <is>
          <t>No</t>
        </is>
      </c>
      <c r="G37" s="31" t="inlineStr">
        <is>
          <t>Several approved events.</t>
        </is>
      </c>
      <c r="H37" s="31" t="inlineStr">
        <is>
          <t>1. Open Approved Events.
2. Search, filter by status and dates, and page through.</t>
        </is>
      </c>
      <c r="I37" s="31" t="inlineStr">
        <is>
          <t>Approved (and cancelled) events are listed with club, date, venue and budget. Filters and paging work.</t>
        </is>
      </c>
      <c r="J37" s="28">
        <f>COUNTIFS(Results!$D$2:$D$2000,$A37,Results!$E$2:$E$2000,"Pass")+COUNTIFS(Results!$D$2:$D$2000,$A37,Results!$E$2:$E$2000,"Fail")+COUNTIFS(Results!$D$2:$D$2000,$A37,Results!$E$2:$E$2000,"Blocked")</f>
        <v/>
      </c>
      <c r="K37" s="28">
        <f>COUNTIFS(Results!$D$2:$D$2000,$A37,Results!$E$2:$E$2000,"Pass")</f>
        <v/>
      </c>
      <c r="L37" s="28">
        <f>COUNTIFS(Results!$D$2:$D$2000,$A37,Results!$E$2:$E$2000,"Fail")</f>
        <v/>
      </c>
      <c r="M37" s="28">
        <f>COUNTIFS(Results!$D$2:$D$2000,$A37,Results!$E$2:$E$2000,"Blocked")</f>
        <v/>
      </c>
      <c r="N37" s="29">
        <f>IF(J37=0,"-",K37/J37)</f>
        <v/>
      </c>
    </row>
    <row r="38" ht="60" customHeight="1">
      <c r="A38" s="27" t="inlineStr">
        <is>
          <t>HEP-11</t>
        </is>
      </c>
      <c r="B38" s="17" t="inlineStr">
        <is>
          <t>HEPA Officer</t>
        </is>
      </c>
      <c r="C38" s="17" t="inlineStr">
        <is>
          <t>Reports</t>
        </is>
      </c>
      <c r="D38" s="17" t="inlineStr">
        <is>
          <t>Reports, charts and export</t>
        </is>
      </c>
      <c r="E38" s="28" t="inlineStr">
        <is>
          <t>Medium</t>
        </is>
      </c>
      <c r="F38" s="28" t="inlineStr">
        <is>
          <t>No</t>
        </is>
      </c>
      <c r="G38" s="17" t="inlineStr">
        <is>
          <t>Some proposals decided.</t>
        </is>
      </c>
      <c r="H38" s="17" t="inlineStr">
        <is>
          <t>1. Open Reports and change the date range.
2. Hover over bars, then switch a chart to Table view.
3. Use Export for CSV and Print.</t>
        </is>
      </c>
      <c r="I38" s="17" t="inlineStr">
        <is>
          <t>Four charts and a summary update with the range. Tooltips and table view show the same numbers. The CSV opens in Excel and Print shows a clean page.</t>
        </is>
      </c>
      <c r="J38" s="28">
        <f>COUNTIFS(Results!$D$2:$D$2000,$A38,Results!$E$2:$E$2000,"Pass")+COUNTIFS(Results!$D$2:$D$2000,$A38,Results!$E$2:$E$2000,"Fail")+COUNTIFS(Results!$D$2:$D$2000,$A38,Results!$E$2:$E$2000,"Blocked")</f>
        <v/>
      </c>
      <c r="K38" s="28">
        <f>COUNTIFS(Results!$D$2:$D$2000,$A38,Results!$E$2:$E$2000,"Pass")</f>
        <v/>
      </c>
      <c r="L38" s="28">
        <f>COUNTIFS(Results!$D$2:$D$2000,$A38,Results!$E$2:$E$2000,"Fail")</f>
        <v/>
      </c>
      <c r="M38" s="28">
        <f>COUNTIFS(Results!$D$2:$D$2000,$A38,Results!$E$2:$E$2000,"Blocked")</f>
        <v/>
      </c>
      <c r="N38" s="29">
        <f>IF(J38=0,"-",K38/J38)</f>
        <v/>
      </c>
    </row>
    <row r="39" ht="73.5" customHeight="1">
      <c r="A39" s="30" t="inlineStr">
        <is>
          <t>ADM-01</t>
        </is>
      </c>
      <c r="B39" s="31" t="inlineStr">
        <is>
          <t>Admin</t>
        </is>
      </c>
      <c r="C39" s="31" t="inlineStr">
        <is>
          <t>Dashboard</t>
        </is>
      </c>
      <c r="D39" s="31" t="inlineStr">
        <is>
          <t>Dashboard and date range</t>
        </is>
      </c>
      <c r="E39" s="32" t="inlineStr">
        <is>
          <t>High</t>
        </is>
      </c>
      <c r="F39" s="32" t="inlineStr">
        <is>
          <t>No</t>
        </is>
      </c>
      <c r="G39" s="31" t="inlineStr">
        <is>
          <t>Signed in as an admin.</t>
        </is>
      </c>
      <c r="H39" s="31" t="inlineStr">
        <is>
          <t>1. Read the statistics, charts and activity feed.
2. Change the date range.</t>
        </is>
      </c>
      <c r="I39" s="31" t="inlineStr">
        <is>
          <t>Total Users, Total Clubs, Active Events and Pending Proposals are shown. Charts and the activity feed follow the range. Feed items read clearly (for example Proposal approved, ICT Club, 2 minutes ago).</t>
        </is>
      </c>
      <c r="J39" s="28">
        <f>COUNTIFS(Results!$D$2:$D$2000,$A39,Results!$E$2:$E$2000,"Pass")+COUNTIFS(Results!$D$2:$D$2000,$A39,Results!$E$2:$E$2000,"Fail")+COUNTIFS(Results!$D$2:$D$2000,$A39,Results!$E$2:$E$2000,"Blocked")</f>
        <v/>
      </c>
      <c r="K39" s="28">
        <f>COUNTIFS(Results!$D$2:$D$2000,$A39,Results!$E$2:$E$2000,"Pass")</f>
        <v/>
      </c>
      <c r="L39" s="28">
        <f>COUNTIFS(Results!$D$2:$D$2000,$A39,Results!$E$2:$E$2000,"Fail")</f>
        <v/>
      </c>
      <c r="M39" s="28">
        <f>COUNTIFS(Results!$D$2:$D$2000,$A39,Results!$E$2:$E$2000,"Blocked")</f>
        <v/>
      </c>
      <c r="N39" s="29">
        <f>IF(J39=0,"-",K39/J39)</f>
        <v/>
      </c>
    </row>
    <row r="40" ht="46.5" customHeight="1">
      <c r="A40" s="27" t="inlineStr">
        <is>
          <t>ADM-02</t>
        </is>
      </c>
      <c r="B40" s="17" t="inlineStr">
        <is>
          <t>Admin</t>
        </is>
      </c>
      <c r="C40" s="17" t="inlineStr">
        <is>
          <t>Dashboard</t>
        </is>
      </c>
      <c r="D40" s="17" t="inlineStr">
        <is>
          <t>Export and print</t>
        </is>
      </c>
      <c r="E40" s="28" t="inlineStr">
        <is>
          <t>Medium</t>
        </is>
      </c>
      <c r="F40" s="28" t="inlineStr">
        <is>
          <t>No</t>
        </is>
      </c>
      <c r="G40" s="17" t="inlineStr">
        <is>
          <t>Some activity exists.</t>
        </is>
      </c>
      <c r="H40" s="17" t="inlineStr">
        <is>
          <t>1. Open Export and download the analytics CSV and the activity CSV.
2. Choose Print / Save as PDF.</t>
        </is>
      </c>
      <c r="I40" s="17" t="inlineStr">
        <is>
          <t>Both files open correctly in Excel with sensible columns. The printed page hides menus and is readable.</t>
        </is>
      </c>
      <c r="J40" s="28">
        <f>COUNTIFS(Results!$D$2:$D$2000,$A40,Results!$E$2:$E$2000,"Pass")+COUNTIFS(Results!$D$2:$D$2000,$A40,Results!$E$2:$E$2000,"Fail")+COUNTIFS(Results!$D$2:$D$2000,$A40,Results!$E$2:$E$2000,"Blocked")</f>
        <v/>
      </c>
      <c r="K40" s="28">
        <f>COUNTIFS(Results!$D$2:$D$2000,$A40,Results!$E$2:$E$2000,"Pass")</f>
        <v/>
      </c>
      <c r="L40" s="28">
        <f>COUNTIFS(Results!$D$2:$D$2000,$A40,Results!$E$2:$E$2000,"Fail")</f>
        <v/>
      </c>
      <c r="M40" s="28">
        <f>COUNTIFS(Results!$D$2:$D$2000,$A40,Results!$E$2:$E$2000,"Blocked")</f>
        <v/>
      </c>
      <c r="N40" s="29">
        <f>IF(J40=0,"-",K40/J40)</f>
        <v/>
      </c>
    </row>
    <row r="41" ht="46.5" customHeight="1">
      <c r="A41" s="30" t="inlineStr">
        <is>
          <t>ADM-03</t>
        </is>
      </c>
      <c r="B41" s="31" t="inlineStr">
        <is>
          <t>Admin</t>
        </is>
      </c>
      <c r="C41" s="31" t="inlineStr">
        <is>
          <t>Users</t>
        </is>
      </c>
      <c r="D41" s="31" t="inlineStr">
        <is>
          <t>Create a user and change a role</t>
        </is>
      </c>
      <c r="E41" s="32" t="inlineStr">
        <is>
          <t>High</t>
        </is>
      </c>
      <c r="F41" s="32" t="inlineStr">
        <is>
          <t>No</t>
        </is>
      </c>
      <c r="G41" s="31" t="inlineStr">
        <is>
          <t>None.</t>
        </is>
      </c>
      <c r="H41" s="31" t="inlineStr">
        <is>
          <t>1. Open Users and add a new HEPA Officer account (HEPA officers cannot register themselves).
2. Change that user's role, then try to change your own role.</t>
        </is>
      </c>
      <c r="I41" s="31" t="inlineStr">
        <is>
          <t>The user is created and can sign in. The role change is saved. You are not allowed to change your own role.</t>
        </is>
      </c>
      <c r="J41" s="28">
        <f>COUNTIFS(Results!$D$2:$D$2000,$A41,Results!$E$2:$E$2000,"Pass")+COUNTIFS(Results!$D$2:$D$2000,$A41,Results!$E$2:$E$2000,"Fail")+COUNTIFS(Results!$D$2:$D$2000,$A41,Results!$E$2:$E$2000,"Blocked")</f>
        <v/>
      </c>
      <c r="K41" s="28">
        <f>COUNTIFS(Results!$D$2:$D$2000,$A41,Results!$E$2:$E$2000,"Pass")</f>
        <v/>
      </c>
      <c r="L41" s="28">
        <f>COUNTIFS(Results!$D$2:$D$2000,$A41,Results!$E$2:$E$2000,"Fail")</f>
        <v/>
      </c>
      <c r="M41" s="28">
        <f>COUNTIFS(Results!$D$2:$D$2000,$A41,Results!$E$2:$E$2000,"Blocked")</f>
        <v/>
      </c>
      <c r="N41" s="29">
        <f>IF(J41=0,"-",K41/J41)</f>
        <v/>
      </c>
    </row>
    <row r="42" ht="46.5" customHeight="1">
      <c r="A42" s="27" t="inlineStr">
        <is>
          <t>ADM-04</t>
        </is>
      </c>
      <c r="B42" s="17" t="inlineStr">
        <is>
          <t>Admin</t>
        </is>
      </c>
      <c r="C42" s="17" t="inlineStr">
        <is>
          <t>Users</t>
        </is>
      </c>
      <c r="D42" s="17" t="inlineStr">
        <is>
          <t>Deactivate, reactivate and reset password</t>
        </is>
      </c>
      <c r="E42" s="28" t="inlineStr">
        <is>
          <t>High</t>
        </is>
      </c>
      <c r="F42" s="28" t="inlineStr">
        <is>
          <t>No</t>
        </is>
      </c>
      <c r="G42" s="17" t="inlineStr">
        <is>
          <t>A second tester or a spare account.</t>
        </is>
      </c>
      <c r="H42" s="17" t="inlineStr">
        <is>
          <t>1. Deactivate a user, then try to sign in as that user.
2. Reactivate the user and reset their password, then sign in.</t>
        </is>
      </c>
      <c r="I42" s="17" t="inlineStr">
        <is>
          <t>A deactivated user cannot sign in and sees a clear message. After reactivation and reset the new password works.</t>
        </is>
      </c>
      <c r="J42" s="28">
        <f>COUNTIFS(Results!$D$2:$D$2000,$A42,Results!$E$2:$E$2000,"Pass")+COUNTIFS(Results!$D$2:$D$2000,$A42,Results!$E$2:$E$2000,"Fail")+COUNTIFS(Results!$D$2:$D$2000,$A42,Results!$E$2:$E$2000,"Blocked")</f>
        <v/>
      </c>
      <c r="K42" s="28">
        <f>COUNTIFS(Results!$D$2:$D$2000,$A42,Results!$E$2:$E$2000,"Pass")</f>
        <v/>
      </c>
      <c r="L42" s="28">
        <f>COUNTIFS(Results!$D$2:$D$2000,$A42,Results!$E$2:$E$2000,"Fail")</f>
        <v/>
      </c>
      <c r="M42" s="28">
        <f>COUNTIFS(Results!$D$2:$D$2000,$A42,Results!$E$2:$E$2000,"Blocked")</f>
        <v/>
      </c>
      <c r="N42" s="29">
        <f>IF(J42=0,"-",K42/J42)</f>
        <v/>
      </c>
    </row>
    <row r="43" ht="33" customHeight="1">
      <c r="A43" s="30" t="inlineStr">
        <is>
          <t>ADM-05</t>
        </is>
      </c>
      <c r="B43" s="31" t="inlineStr">
        <is>
          <t>Admin</t>
        </is>
      </c>
      <c r="C43" s="31" t="inlineStr">
        <is>
          <t>Clubs</t>
        </is>
      </c>
      <c r="D43" s="31" t="inlineStr">
        <is>
          <t>Create a club and assign a member</t>
        </is>
      </c>
      <c r="E43" s="32" t="inlineStr">
        <is>
          <t>Medium</t>
        </is>
      </c>
      <c r="F43" s="32" t="inlineStr">
        <is>
          <t>No</t>
        </is>
      </c>
      <c r="G43" s="31" t="inlineStr">
        <is>
          <t>A club committee account exists.</t>
        </is>
      </c>
      <c r="H43" s="31" t="inlineStr">
        <is>
          <t>1. Open Clubs and create a club.
2. Assign a committee member to it.</t>
        </is>
      </c>
      <c r="I43" s="31" t="inlineStr">
        <is>
          <t>The club appears in the list. The member's proposals now show the club name.</t>
        </is>
      </c>
      <c r="J43" s="28">
        <f>COUNTIFS(Results!$D$2:$D$2000,$A43,Results!$E$2:$E$2000,"Pass")+COUNTIFS(Results!$D$2:$D$2000,$A43,Results!$E$2:$E$2000,"Fail")+COUNTIFS(Results!$D$2:$D$2000,$A43,Results!$E$2:$E$2000,"Blocked")</f>
        <v/>
      </c>
      <c r="K43" s="28">
        <f>COUNTIFS(Results!$D$2:$D$2000,$A43,Results!$E$2:$E$2000,"Pass")</f>
        <v/>
      </c>
      <c r="L43" s="28">
        <f>COUNTIFS(Results!$D$2:$D$2000,$A43,Results!$E$2:$E$2000,"Fail")</f>
        <v/>
      </c>
      <c r="M43" s="28">
        <f>COUNTIFS(Results!$D$2:$D$2000,$A43,Results!$E$2:$E$2000,"Blocked")</f>
        <v/>
      </c>
      <c r="N43" s="29">
        <f>IF(J43=0,"-",K43/J43)</f>
        <v/>
      </c>
    </row>
    <row r="44" ht="33" customHeight="1">
      <c r="A44" s="27" t="inlineStr">
        <is>
          <t>ADM-06</t>
        </is>
      </c>
      <c r="B44" s="17" t="inlineStr">
        <is>
          <t>Admin</t>
        </is>
      </c>
      <c r="C44" s="17" t="inlineStr">
        <is>
          <t>Proposals</t>
        </is>
      </c>
      <c r="D44" s="17" t="inlineStr">
        <is>
          <t>Monitor proposals (read-only)</t>
        </is>
      </c>
      <c r="E44" s="28" t="inlineStr">
        <is>
          <t>Medium</t>
        </is>
      </c>
      <c r="F44" s="28" t="inlineStr">
        <is>
          <t>No</t>
        </is>
      </c>
      <c r="G44" s="17" t="inlineStr">
        <is>
          <t>Proposals in different statuses.</t>
        </is>
      </c>
      <c r="H44" s="17" t="inlineStr">
        <is>
          <t>1. Open Proposals, use the filters and open one proposal.</t>
        </is>
      </c>
      <c r="I44" s="17" t="inlineStr">
        <is>
          <t>The list filters correctly. The detail page has no Approve or Reject buttons for Admin.</t>
        </is>
      </c>
      <c r="J44" s="28">
        <f>COUNTIFS(Results!$D$2:$D$2000,$A44,Results!$E$2:$E$2000,"Pass")+COUNTIFS(Results!$D$2:$D$2000,$A44,Results!$E$2:$E$2000,"Fail")+COUNTIFS(Results!$D$2:$D$2000,$A44,Results!$E$2:$E$2000,"Blocked")</f>
        <v/>
      </c>
      <c r="K44" s="28">
        <f>COUNTIFS(Results!$D$2:$D$2000,$A44,Results!$E$2:$E$2000,"Pass")</f>
        <v/>
      </c>
      <c r="L44" s="28">
        <f>COUNTIFS(Results!$D$2:$D$2000,$A44,Results!$E$2:$E$2000,"Fail")</f>
        <v/>
      </c>
      <c r="M44" s="28">
        <f>COUNTIFS(Results!$D$2:$D$2000,$A44,Results!$E$2:$E$2000,"Blocked")</f>
        <v/>
      </c>
      <c r="N44" s="29">
        <f>IF(J44=0,"-",K44/J44)</f>
        <v/>
      </c>
    </row>
    <row r="45" ht="46.5" customHeight="1">
      <c r="A45" s="30" t="inlineStr">
        <is>
          <t>ADM-07</t>
        </is>
      </c>
      <c r="B45" s="31" t="inlineStr">
        <is>
          <t>Admin</t>
        </is>
      </c>
      <c r="C45" s="31" t="inlineStr">
        <is>
          <t>Proposals</t>
        </is>
      </c>
      <c r="D45" s="31" t="inlineStr">
        <is>
          <t>Cancel an approved event</t>
        </is>
      </c>
      <c r="E45" s="32" t="inlineStr">
        <is>
          <t>High</t>
        </is>
      </c>
      <c r="F45" s="32" t="inlineStr">
        <is>
          <t>No</t>
        </is>
      </c>
      <c r="G45" s="31" t="inlineStr">
        <is>
          <t>An approved event.</t>
        </is>
      </c>
      <c r="H45" s="31" t="inlineStr">
        <is>
          <t>1. Open the approved proposal and click Cancel Event.
2. Try to confirm without a reason, then give a reason and confirm.
3. Check the Calendar.</t>
        </is>
      </c>
      <c r="I45" s="31" t="inlineStr">
        <is>
          <t>A reason is required. The event disappears from the Calendar and is shown as Cancelled, with HEPA's approval still on record.</t>
        </is>
      </c>
      <c r="J45" s="28">
        <f>COUNTIFS(Results!$D$2:$D$2000,$A45,Results!$E$2:$E$2000,"Pass")+COUNTIFS(Results!$D$2:$D$2000,$A45,Results!$E$2:$E$2000,"Fail")+COUNTIFS(Results!$D$2:$D$2000,$A45,Results!$E$2:$E$2000,"Blocked")</f>
        <v/>
      </c>
      <c r="K45" s="28">
        <f>COUNTIFS(Results!$D$2:$D$2000,$A45,Results!$E$2:$E$2000,"Pass")</f>
        <v/>
      </c>
      <c r="L45" s="28">
        <f>COUNTIFS(Results!$D$2:$D$2000,$A45,Results!$E$2:$E$2000,"Fail")</f>
        <v/>
      </c>
      <c r="M45" s="28">
        <f>COUNTIFS(Results!$D$2:$D$2000,$A45,Results!$E$2:$E$2000,"Blocked")</f>
        <v/>
      </c>
      <c r="N45" s="29">
        <f>IF(J45=0,"-",K45/J45)</f>
        <v/>
      </c>
    </row>
    <row r="46" ht="46.5" customHeight="1">
      <c r="A46" s="27" t="inlineStr">
        <is>
          <t>ADM-08</t>
        </is>
      </c>
      <c r="B46" s="17" t="inlineStr">
        <is>
          <t>Admin</t>
        </is>
      </c>
      <c r="C46" s="17" t="inlineStr">
        <is>
          <t>Audit logs</t>
        </is>
      </c>
      <c r="D46" s="17" t="inlineStr">
        <is>
          <t>Audit log filters and paging</t>
        </is>
      </c>
      <c r="E46" s="28" t="inlineStr">
        <is>
          <t>High</t>
        </is>
      </c>
      <c r="F46" s="28" t="inlineStr">
        <is>
          <t>No</t>
        </is>
      </c>
      <c r="G46" s="17" t="inlineStr">
        <is>
          <t>Some activity exists.</t>
        </is>
      </c>
      <c r="H46" s="17" t="inlineStr">
        <is>
          <t>1. Open Audit Logs.
2. Filter by user, role, action, module, result and dates, then page through.</t>
        </is>
      </c>
      <c r="I46" s="17" t="inlineStr">
        <is>
          <t>Columns include time, user, role, action, module, target, IP address and result. Each filter works and an entry count is shown.</t>
        </is>
      </c>
      <c r="J46" s="28">
        <f>COUNTIFS(Results!$D$2:$D$2000,$A46,Results!$E$2:$E$2000,"Pass")+COUNTIFS(Results!$D$2:$D$2000,$A46,Results!$E$2:$E$2000,"Fail")+COUNTIFS(Results!$D$2:$D$2000,$A46,Results!$E$2:$E$2000,"Blocked")</f>
        <v/>
      </c>
      <c r="K46" s="28">
        <f>COUNTIFS(Results!$D$2:$D$2000,$A46,Results!$E$2:$E$2000,"Pass")</f>
        <v/>
      </c>
      <c r="L46" s="28">
        <f>COUNTIFS(Results!$D$2:$D$2000,$A46,Results!$E$2:$E$2000,"Fail")</f>
        <v/>
      </c>
      <c r="M46" s="28">
        <f>COUNTIFS(Results!$D$2:$D$2000,$A46,Results!$E$2:$E$2000,"Blocked")</f>
        <v/>
      </c>
      <c r="N46" s="29">
        <f>IF(J46=0,"-",K46/J46)</f>
        <v/>
      </c>
    </row>
    <row r="47" ht="46.5" customHeight="1">
      <c r="A47" s="30" t="inlineStr">
        <is>
          <t>ADM-09</t>
        </is>
      </c>
      <c r="B47" s="31" t="inlineStr">
        <is>
          <t>Admin</t>
        </is>
      </c>
      <c r="C47" s="31" t="inlineStr">
        <is>
          <t>Audit logs</t>
        </is>
      </c>
      <c r="D47" s="31" t="inlineStr">
        <is>
          <t>Audit entry details</t>
        </is>
      </c>
      <c r="E47" s="32" t="inlineStr">
        <is>
          <t>Medium</t>
        </is>
      </c>
      <c r="F47" s="32" t="inlineStr">
        <is>
          <t>No</t>
        </is>
      </c>
      <c r="G47" s="31" t="inlineStr">
        <is>
          <t>At least one entry.</t>
        </is>
      </c>
      <c r="H47" s="31" t="inlineStr">
        <is>
          <t>1. Click a row to open its panel.
2. Check the IP address, browser and details, then click Copy as JSON.</t>
        </is>
      </c>
      <c r="I47" s="31" t="inlineStr">
        <is>
          <t>A side panel shows when, who, what, target, where and details. Copy as JSON confirms with a notice.</t>
        </is>
      </c>
      <c r="J47" s="28">
        <f>COUNTIFS(Results!$D$2:$D$2000,$A47,Results!$E$2:$E$2000,"Pass")+COUNTIFS(Results!$D$2:$D$2000,$A47,Results!$E$2:$E$2000,"Fail")+COUNTIFS(Results!$D$2:$D$2000,$A47,Results!$E$2:$E$2000,"Blocked")</f>
        <v/>
      </c>
      <c r="K47" s="28">
        <f>COUNTIFS(Results!$D$2:$D$2000,$A47,Results!$E$2:$E$2000,"Pass")</f>
        <v/>
      </c>
      <c r="L47" s="28">
        <f>COUNTIFS(Results!$D$2:$D$2000,$A47,Results!$E$2:$E$2000,"Fail")</f>
        <v/>
      </c>
      <c r="M47" s="28">
        <f>COUNTIFS(Results!$D$2:$D$2000,$A47,Results!$E$2:$E$2000,"Blocked")</f>
        <v/>
      </c>
      <c r="N47" s="29">
        <f>IF(J47=0,"-",K47/J47)</f>
        <v/>
      </c>
    </row>
    <row r="48" ht="33" customHeight="1">
      <c r="A48" s="27" t="inlineStr">
        <is>
          <t>ADM-10</t>
        </is>
      </c>
      <c r="B48" s="17" t="inlineStr">
        <is>
          <t>Admin</t>
        </is>
      </c>
      <c r="C48" s="17" t="inlineStr">
        <is>
          <t>Audit logs</t>
        </is>
      </c>
      <c r="D48" s="17" t="inlineStr">
        <is>
          <t>Export the audit log</t>
        </is>
      </c>
      <c r="E48" s="28" t="inlineStr">
        <is>
          <t>Medium</t>
        </is>
      </c>
      <c r="F48" s="28" t="inlineStr">
        <is>
          <t>No</t>
        </is>
      </c>
      <c r="G48" s="17" t="inlineStr">
        <is>
          <t>Some entries.</t>
        </is>
      </c>
      <c r="H48" s="17" t="inlineStr">
        <is>
          <t>1. Apply a filter, click Export CSV and open the file.</t>
        </is>
      </c>
      <c r="I48" s="17" t="inlineStr">
        <is>
          <t>Only the filtered entries are downloaded and the file opens correctly in Excel.</t>
        </is>
      </c>
      <c r="J48" s="28">
        <f>COUNTIFS(Results!$D$2:$D$2000,$A48,Results!$E$2:$E$2000,"Pass")+COUNTIFS(Results!$D$2:$D$2000,$A48,Results!$E$2:$E$2000,"Fail")+COUNTIFS(Results!$D$2:$D$2000,$A48,Results!$E$2:$E$2000,"Blocked")</f>
        <v/>
      </c>
      <c r="K48" s="28">
        <f>COUNTIFS(Results!$D$2:$D$2000,$A48,Results!$E$2:$E$2000,"Pass")</f>
        <v/>
      </c>
      <c r="L48" s="28">
        <f>COUNTIFS(Results!$D$2:$D$2000,$A48,Results!$E$2:$E$2000,"Fail")</f>
        <v/>
      </c>
      <c r="M48" s="28">
        <f>COUNTIFS(Results!$D$2:$D$2000,$A48,Results!$E$2:$E$2000,"Blocked")</f>
        <v/>
      </c>
      <c r="N48" s="29">
        <f>IF(J48=0,"-",K48/J48)</f>
        <v/>
      </c>
    </row>
    <row r="49" ht="33" customHeight="1">
      <c r="A49" s="30" t="inlineStr">
        <is>
          <t>ADM-11</t>
        </is>
      </c>
      <c r="B49" s="31" t="inlineStr">
        <is>
          <t>Admin</t>
        </is>
      </c>
      <c r="C49" s="31" t="inlineStr">
        <is>
          <t>Settings</t>
        </is>
      </c>
      <c r="D49" s="31" t="inlineStr">
        <is>
          <t>Upload rules are enforced</t>
        </is>
      </c>
      <c r="E49" s="32" t="inlineStr">
        <is>
          <t>Medium</t>
        </is>
      </c>
      <c r="F49" s="32" t="inlineStr">
        <is>
          <t>No</t>
        </is>
      </c>
      <c r="G49" s="31" t="inlineStr">
        <is>
          <t>A club account to test uploading.</t>
        </is>
      </c>
      <c r="H49" s="31" t="inlineStr">
        <is>
          <t>1. Open Settings and lower the maximum upload size or remove an allowed file type, then save.
2. As a club member, try to upload a file that now breaks the rule.</t>
        </is>
      </c>
      <c r="I49" s="31" t="inlineStr">
        <is>
          <t>The upload is refused with a clear message. Restoring the setting allows it again.</t>
        </is>
      </c>
      <c r="J49" s="28">
        <f>COUNTIFS(Results!$D$2:$D$2000,$A49,Results!$E$2:$E$2000,"Pass")+COUNTIFS(Results!$D$2:$D$2000,$A49,Results!$E$2:$E$2000,"Fail")+COUNTIFS(Results!$D$2:$D$2000,$A49,Results!$E$2:$E$2000,"Blocked")</f>
        <v/>
      </c>
      <c r="K49" s="28">
        <f>COUNTIFS(Results!$D$2:$D$2000,$A49,Results!$E$2:$E$2000,"Pass")</f>
        <v/>
      </c>
      <c r="L49" s="28">
        <f>COUNTIFS(Results!$D$2:$D$2000,$A49,Results!$E$2:$E$2000,"Fail")</f>
        <v/>
      </c>
      <c r="M49" s="28">
        <f>COUNTIFS(Results!$D$2:$D$2000,$A49,Results!$E$2:$E$2000,"Blocked")</f>
        <v/>
      </c>
      <c r="N49" s="29">
        <f>IF(J49=0,"-",K49/J49)</f>
        <v/>
      </c>
    </row>
  </sheetData>
  <autoFilter ref="A1:N49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7" customWidth="1" min="3" max="3"/>
    <col width="11" customWidth="1" min="4" max="4"/>
    <col width="11" customWidth="1" min="5" max="5"/>
    <col width="56" customWidth="1" min="6" max="6"/>
    <col width="13" customWidth="1" min="7" max="7"/>
    <col width="11" customWidth="1" min="8" max="8"/>
  </cols>
  <sheetData>
    <row r="1" ht="32" customHeight="1">
      <c r="A1" s="7" t="inlineStr">
        <is>
          <t>Tester ID</t>
        </is>
      </c>
      <c r="B1" s="7" t="inlineStr">
        <is>
          <t>Tester name</t>
        </is>
      </c>
      <c r="C1" s="7" t="inlineStr">
        <is>
          <t>Role</t>
        </is>
      </c>
      <c r="D1" s="7" t="inlineStr">
        <is>
          <t>TC ID</t>
        </is>
      </c>
      <c r="E1" s="7" t="inlineStr">
        <is>
          <t>Result</t>
        </is>
      </c>
      <c r="F1" s="7" t="inlineStr">
        <is>
          <t>Comment</t>
        </is>
      </c>
      <c r="G1" s="7" t="inlineStr">
        <is>
          <t>Date tested</t>
        </is>
      </c>
      <c r="H1" s="7" t="inlineStr">
        <is>
          <t>Defect ID</t>
        </is>
      </c>
    </row>
    <row r="2">
      <c r="A2" s="33" t="n"/>
      <c r="B2" s="33" t="n"/>
      <c r="C2" s="33" t="n"/>
      <c r="D2" s="33" t="n"/>
      <c r="E2" s="33" t="n"/>
      <c r="F2" s="5" t="n"/>
      <c r="G2" s="33" t="n"/>
      <c r="H2" s="33" t="n"/>
    </row>
    <row r="3">
      <c r="A3" s="33" t="n"/>
      <c r="B3" s="33" t="n"/>
      <c r="C3" s="33" t="n"/>
      <c r="D3" s="33" t="n"/>
      <c r="E3" s="33" t="n"/>
      <c r="F3" s="5" t="n"/>
      <c r="G3" s="33" t="n"/>
      <c r="H3" s="33" t="n"/>
    </row>
    <row r="4">
      <c r="A4" s="33" t="n"/>
      <c r="B4" s="33" t="n"/>
      <c r="C4" s="33" t="n"/>
      <c r="D4" s="33" t="n"/>
      <c r="E4" s="33" t="n"/>
      <c r="F4" s="5" t="n"/>
      <c r="G4" s="33" t="n"/>
      <c r="H4" s="33" t="n"/>
    </row>
    <row r="5">
      <c r="A5" s="33" t="n"/>
      <c r="B5" s="33" t="n"/>
      <c r="C5" s="33" t="n"/>
      <c r="D5" s="33" t="n"/>
      <c r="E5" s="33" t="n"/>
      <c r="F5" s="5" t="n"/>
      <c r="G5" s="33" t="n"/>
      <c r="H5" s="33" t="n"/>
    </row>
    <row r="6">
      <c r="A6" s="33" t="n"/>
      <c r="B6" s="33" t="n"/>
      <c r="C6" s="33" t="n"/>
      <c r="D6" s="33" t="n"/>
      <c r="E6" s="33" t="n"/>
      <c r="F6" s="5" t="n"/>
      <c r="G6" s="33" t="n"/>
      <c r="H6" s="33" t="n"/>
    </row>
    <row r="7">
      <c r="A7" s="33" t="n"/>
      <c r="B7" s="33" t="n"/>
      <c r="C7" s="33" t="n"/>
      <c r="D7" s="33" t="n"/>
      <c r="E7" s="33" t="n"/>
      <c r="F7" s="5" t="n"/>
      <c r="G7" s="33" t="n"/>
      <c r="H7" s="33" t="n"/>
    </row>
    <row r="8">
      <c r="A8" s="33" t="n"/>
      <c r="B8" s="33" t="n"/>
      <c r="C8" s="33" t="n"/>
      <c r="D8" s="33" t="n"/>
      <c r="E8" s="33" t="n"/>
      <c r="F8" s="5" t="n"/>
      <c r="G8" s="33" t="n"/>
      <c r="H8" s="33" t="n"/>
    </row>
    <row r="9">
      <c r="A9" s="33" t="n"/>
      <c r="B9" s="33" t="n"/>
      <c r="C9" s="33" t="n"/>
      <c r="D9" s="33" t="n"/>
      <c r="E9" s="33" t="n"/>
      <c r="F9" s="5" t="n"/>
      <c r="G9" s="33" t="n"/>
      <c r="H9" s="33" t="n"/>
    </row>
    <row r="10">
      <c r="A10" s="33" t="n"/>
      <c r="B10" s="33" t="n"/>
      <c r="C10" s="33" t="n"/>
      <c r="D10" s="33" t="n"/>
      <c r="E10" s="33" t="n"/>
      <c r="F10" s="5" t="n"/>
      <c r="G10" s="33" t="n"/>
      <c r="H10" s="33" t="n"/>
    </row>
    <row r="11">
      <c r="A11" s="33" t="n"/>
      <c r="B11" s="33" t="n"/>
      <c r="C11" s="33" t="n"/>
      <c r="D11" s="33" t="n"/>
      <c r="E11" s="33" t="n"/>
      <c r="F11" s="5" t="n"/>
      <c r="G11" s="33" t="n"/>
      <c r="H11" s="33" t="n"/>
    </row>
    <row r="12">
      <c r="A12" s="33" t="n"/>
      <c r="B12" s="33" t="n"/>
      <c r="C12" s="33" t="n"/>
      <c r="D12" s="33" t="n"/>
      <c r="E12" s="33" t="n"/>
      <c r="F12" s="5" t="n"/>
      <c r="G12" s="33" t="n"/>
      <c r="H12" s="33" t="n"/>
    </row>
    <row r="13">
      <c r="A13" s="33" t="n"/>
      <c r="B13" s="33" t="n"/>
      <c r="C13" s="33" t="n"/>
      <c r="D13" s="33" t="n"/>
      <c r="E13" s="33" t="n"/>
      <c r="F13" s="5" t="n"/>
      <c r="G13" s="33" t="n"/>
      <c r="H13" s="33" t="n"/>
    </row>
    <row r="14">
      <c r="A14" s="33" t="n"/>
      <c r="B14" s="33" t="n"/>
      <c r="C14" s="33" t="n"/>
      <c r="D14" s="33" t="n"/>
      <c r="E14" s="33" t="n"/>
      <c r="F14" s="5" t="n"/>
      <c r="G14" s="33" t="n"/>
      <c r="H14" s="33" t="n"/>
    </row>
    <row r="15">
      <c r="A15" s="33" t="n"/>
      <c r="B15" s="33" t="n"/>
      <c r="C15" s="33" t="n"/>
      <c r="D15" s="33" t="n"/>
      <c r="E15" s="33" t="n"/>
      <c r="F15" s="5" t="n"/>
      <c r="G15" s="33" t="n"/>
      <c r="H15" s="33" t="n"/>
    </row>
    <row r="16">
      <c r="A16" s="33" t="n"/>
      <c r="B16" s="33" t="n"/>
      <c r="C16" s="33" t="n"/>
      <c r="D16" s="33" t="n"/>
      <c r="E16" s="33" t="n"/>
      <c r="F16" s="5" t="n"/>
      <c r="G16" s="33" t="n"/>
      <c r="H16" s="33" t="n"/>
    </row>
    <row r="17">
      <c r="A17" s="33" t="n"/>
      <c r="B17" s="33" t="n"/>
      <c r="C17" s="33" t="n"/>
      <c r="D17" s="33" t="n"/>
      <c r="E17" s="33" t="n"/>
      <c r="F17" s="5" t="n"/>
      <c r="G17" s="33" t="n"/>
      <c r="H17" s="33" t="n"/>
    </row>
    <row r="18">
      <c r="A18" s="33" t="n"/>
      <c r="B18" s="33" t="n"/>
      <c r="C18" s="33" t="n"/>
      <c r="D18" s="33" t="n"/>
      <c r="E18" s="33" t="n"/>
      <c r="F18" s="5" t="n"/>
      <c r="G18" s="33" t="n"/>
      <c r="H18" s="33" t="n"/>
    </row>
    <row r="19">
      <c r="A19" s="33" t="n"/>
      <c r="B19" s="33" t="n"/>
      <c r="C19" s="33" t="n"/>
      <c r="D19" s="33" t="n"/>
      <c r="E19" s="33" t="n"/>
      <c r="F19" s="5" t="n"/>
      <c r="G19" s="33" t="n"/>
      <c r="H19" s="33" t="n"/>
    </row>
    <row r="20">
      <c r="A20" s="33" t="n"/>
      <c r="B20" s="33" t="n"/>
      <c r="C20" s="33" t="n"/>
      <c r="D20" s="33" t="n"/>
      <c r="E20" s="33" t="n"/>
      <c r="F20" s="5" t="n"/>
      <c r="G20" s="33" t="n"/>
      <c r="H20" s="33" t="n"/>
    </row>
    <row r="21">
      <c r="A21" s="33" t="n"/>
      <c r="B21" s="33" t="n"/>
      <c r="C21" s="33" t="n"/>
      <c r="D21" s="33" t="n"/>
      <c r="E21" s="33" t="n"/>
      <c r="F21" s="5" t="n"/>
      <c r="G21" s="33" t="n"/>
      <c r="H21" s="33" t="n"/>
    </row>
    <row r="22">
      <c r="A22" s="33" t="n"/>
      <c r="B22" s="33" t="n"/>
      <c r="C22" s="33" t="n"/>
      <c r="D22" s="33" t="n"/>
      <c r="E22" s="33" t="n"/>
      <c r="F22" s="5" t="n"/>
      <c r="G22" s="33" t="n"/>
      <c r="H22" s="33" t="n"/>
    </row>
    <row r="23">
      <c r="A23" s="33" t="n"/>
      <c r="B23" s="33" t="n"/>
      <c r="C23" s="33" t="n"/>
      <c r="D23" s="33" t="n"/>
      <c r="E23" s="33" t="n"/>
      <c r="F23" s="5" t="n"/>
      <c r="G23" s="33" t="n"/>
      <c r="H23" s="33" t="n"/>
    </row>
    <row r="24">
      <c r="A24" s="33" t="n"/>
      <c r="B24" s="33" t="n"/>
      <c r="C24" s="33" t="n"/>
      <c r="D24" s="33" t="n"/>
      <c r="E24" s="33" t="n"/>
      <c r="F24" s="5" t="n"/>
      <c r="G24" s="33" t="n"/>
      <c r="H24" s="33" t="n"/>
    </row>
    <row r="25">
      <c r="A25" s="33" t="n"/>
      <c r="B25" s="33" t="n"/>
      <c r="C25" s="33" t="n"/>
      <c r="D25" s="33" t="n"/>
      <c r="E25" s="33" t="n"/>
      <c r="F25" s="5" t="n"/>
      <c r="G25" s="33" t="n"/>
      <c r="H25" s="33" t="n"/>
    </row>
    <row r="26">
      <c r="A26" s="33" t="n"/>
      <c r="B26" s="33" t="n"/>
      <c r="C26" s="33" t="n"/>
      <c r="D26" s="33" t="n"/>
      <c r="E26" s="33" t="n"/>
      <c r="F26" s="5" t="n"/>
      <c r="G26" s="33" t="n"/>
      <c r="H26" s="33" t="n"/>
    </row>
    <row r="27">
      <c r="A27" s="33" t="n"/>
      <c r="B27" s="33" t="n"/>
      <c r="C27" s="33" t="n"/>
      <c r="D27" s="33" t="n"/>
      <c r="E27" s="33" t="n"/>
      <c r="F27" s="5" t="n"/>
      <c r="G27" s="33" t="n"/>
      <c r="H27" s="33" t="n"/>
    </row>
    <row r="28">
      <c r="A28" s="33" t="n"/>
      <c r="B28" s="33" t="n"/>
      <c r="C28" s="33" t="n"/>
      <c r="D28" s="33" t="n"/>
      <c r="E28" s="33" t="n"/>
      <c r="F28" s="5" t="n"/>
      <c r="G28" s="33" t="n"/>
      <c r="H28" s="33" t="n"/>
    </row>
    <row r="29">
      <c r="A29" s="33" t="n"/>
      <c r="B29" s="33" t="n"/>
      <c r="C29" s="33" t="n"/>
      <c r="D29" s="33" t="n"/>
      <c r="E29" s="33" t="n"/>
      <c r="F29" s="5" t="n"/>
      <c r="G29" s="33" t="n"/>
      <c r="H29" s="33" t="n"/>
    </row>
    <row r="30">
      <c r="A30" s="33" t="n"/>
      <c r="B30" s="33" t="n"/>
      <c r="C30" s="33" t="n"/>
      <c r="D30" s="33" t="n"/>
      <c r="E30" s="33" t="n"/>
      <c r="F30" s="5" t="n"/>
      <c r="G30" s="33" t="n"/>
      <c r="H30" s="33" t="n"/>
    </row>
    <row r="31">
      <c r="A31" s="33" t="n"/>
      <c r="B31" s="33" t="n"/>
      <c r="C31" s="33" t="n"/>
      <c r="D31" s="33" t="n"/>
      <c r="E31" s="33" t="n"/>
      <c r="F31" s="5" t="n"/>
      <c r="G31" s="33" t="n"/>
      <c r="H31" s="33" t="n"/>
    </row>
    <row r="32">
      <c r="A32" s="33" t="n"/>
      <c r="B32" s="33" t="n"/>
      <c r="C32" s="33" t="n"/>
      <c r="D32" s="33" t="n"/>
      <c r="E32" s="33" t="n"/>
      <c r="F32" s="5" t="n"/>
      <c r="G32" s="33" t="n"/>
      <c r="H32" s="33" t="n"/>
    </row>
    <row r="33">
      <c r="A33" s="33" t="n"/>
      <c r="B33" s="33" t="n"/>
      <c r="C33" s="33" t="n"/>
      <c r="D33" s="33" t="n"/>
      <c r="E33" s="33" t="n"/>
      <c r="F33" s="5" t="n"/>
      <c r="G33" s="33" t="n"/>
      <c r="H33" s="33" t="n"/>
    </row>
    <row r="34">
      <c r="A34" s="33" t="n"/>
      <c r="B34" s="33" t="n"/>
      <c r="C34" s="33" t="n"/>
      <c r="D34" s="33" t="n"/>
      <c r="E34" s="33" t="n"/>
      <c r="F34" s="5" t="n"/>
      <c r="G34" s="33" t="n"/>
      <c r="H34" s="33" t="n"/>
    </row>
    <row r="35">
      <c r="A35" s="33" t="n"/>
      <c r="B35" s="33" t="n"/>
      <c r="C35" s="33" t="n"/>
      <c r="D35" s="33" t="n"/>
      <c r="E35" s="33" t="n"/>
      <c r="F35" s="5" t="n"/>
      <c r="G35" s="33" t="n"/>
      <c r="H35" s="33" t="n"/>
    </row>
    <row r="36">
      <c r="A36" s="33" t="n"/>
      <c r="B36" s="33" t="n"/>
      <c r="C36" s="33" t="n"/>
      <c r="D36" s="33" t="n"/>
      <c r="E36" s="33" t="n"/>
      <c r="F36" s="5" t="n"/>
      <c r="G36" s="33" t="n"/>
      <c r="H36" s="33" t="n"/>
    </row>
    <row r="37">
      <c r="A37" s="33" t="n"/>
      <c r="B37" s="33" t="n"/>
      <c r="C37" s="33" t="n"/>
      <c r="D37" s="33" t="n"/>
      <c r="E37" s="33" t="n"/>
      <c r="F37" s="5" t="n"/>
      <c r="G37" s="33" t="n"/>
      <c r="H37" s="33" t="n"/>
    </row>
    <row r="38">
      <c r="A38" s="33" t="n"/>
      <c r="B38" s="33" t="n"/>
      <c r="C38" s="33" t="n"/>
      <c r="D38" s="33" t="n"/>
      <c r="E38" s="33" t="n"/>
      <c r="F38" s="5" t="n"/>
      <c r="G38" s="33" t="n"/>
      <c r="H38" s="33" t="n"/>
    </row>
    <row r="39">
      <c r="A39" s="33" t="n"/>
      <c r="B39" s="33" t="n"/>
      <c r="C39" s="33" t="n"/>
      <c r="D39" s="33" t="n"/>
      <c r="E39" s="33" t="n"/>
      <c r="F39" s="5" t="n"/>
      <c r="G39" s="33" t="n"/>
      <c r="H39" s="33" t="n"/>
    </row>
    <row r="40">
      <c r="A40" s="33" t="n"/>
      <c r="B40" s="33" t="n"/>
      <c r="C40" s="33" t="n"/>
      <c r="D40" s="33" t="n"/>
      <c r="E40" s="33" t="n"/>
      <c r="F40" s="5" t="n"/>
      <c r="G40" s="33" t="n"/>
      <c r="H40" s="33" t="n"/>
    </row>
    <row r="41">
      <c r="A41" s="33" t="n"/>
      <c r="B41" s="33" t="n"/>
      <c r="C41" s="33" t="n"/>
      <c r="D41" s="33" t="n"/>
      <c r="E41" s="33" t="n"/>
      <c r="F41" s="5" t="n"/>
      <c r="G41" s="33" t="n"/>
      <c r="H41" s="33" t="n"/>
    </row>
    <row r="42">
      <c r="A42" s="33" t="n"/>
      <c r="B42" s="33" t="n"/>
      <c r="C42" s="33" t="n"/>
      <c r="D42" s="33" t="n"/>
      <c r="E42" s="33" t="n"/>
      <c r="F42" s="5" t="n"/>
      <c r="G42" s="33" t="n"/>
      <c r="H42" s="33" t="n"/>
    </row>
    <row r="43">
      <c r="A43" s="33" t="n"/>
      <c r="B43" s="33" t="n"/>
      <c r="C43" s="33" t="n"/>
      <c r="D43" s="33" t="n"/>
      <c r="E43" s="33" t="n"/>
      <c r="F43" s="5" t="n"/>
      <c r="G43" s="33" t="n"/>
      <c r="H43" s="33" t="n"/>
    </row>
    <row r="44">
      <c r="A44" s="33" t="n"/>
      <c r="B44" s="33" t="n"/>
      <c r="C44" s="33" t="n"/>
      <c r="D44" s="33" t="n"/>
      <c r="E44" s="33" t="n"/>
      <c r="F44" s="5" t="n"/>
      <c r="G44" s="33" t="n"/>
      <c r="H44" s="33" t="n"/>
    </row>
    <row r="45">
      <c r="A45" s="33" t="n"/>
      <c r="B45" s="33" t="n"/>
      <c r="C45" s="33" t="n"/>
      <c r="D45" s="33" t="n"/>
      <c r="E45" s="33" t="n"/>
      <c r="F45" s="5" t="n"/>
      <c r="G45" s="33" t="n"/>
      <c r="H45" s="33" t="n"/>
    </row>
    <row r="46">
      <c r="A46" s="33" t="n"/>
      <c r="B46" s="33" t="n"/>
      <c r="C46" s="33" t="n"/>
      <c r="D46" s="33" t="n"/>
      <c r="E46" s="33" t="n"/>
      <c r="F46" s="5" t="n"/>
      <c r="G46" s="33" t="n"/>
      <c r="H46" s="33" t="n"/>
    </row>
    <row r="47">
      <c r="A47" s="33" t="n"/>
      <c r="B47" s="33" t="n"/>
      <c r="C47" s="33" t="n"/>
      <c r="D47" s="33" t="n"/>
      <c r="E47" s="33" t="n"/>
      <c r="F47" s="5" t="n"/>
      <c r="G47" s="33" t="n"/>
      <c r="H47" s="33" t="n"/>
    </row>
    <row r="48">
      <c r="A48" s="33" t="n"/>
      <c r="B48" s="33" t="n"/>
      <c r="C48" s="33" t="n"/>
      <c r="D48" s="33" t="n"/>
      <c r="E48" s="33" t="n"/>
      <c r="F48" s="5" t="n"/>
      <c r="G48" s="33" t="n"/>
      <c r="H48" s="33" t="n"/>
    </row>
    <row r="49">
      <c r="A49" s="33" t="n"/>
      <c r="B49" s="33" t="n"/>
      <c r="C49" s="33" t="n"/>
      <c r="D49" s="33" t="n"/>
      <c r="E49" s="33" t="n"/>
      <c r="F49" s="5" t="n"/>
      <c r="G49" s="33" t="n"/>
      <c r="H49" s="33" t="n"/>
    </row>
    <row r="50">
      <c r="A50" s="33" t="n"/>
      <c r="B50" s="33" t="n"/>
      <c r="C50" s="33" t="n"/>
      <c r="D50" s="33" t="n"/>
      <c r="E50" s="33" t="n"/>
      <c r="F50" s="5" t="n"/>
      <c r="G50" s="33" t="n"/>
      <c r="H50" s="33" t="n"/>
    </row>
    <row r="51">
      <c r="A51" s="33" t="n"/>
      <c r="B51" s="33" t="n"/>
      <c r="C51" s="33" t="n"/>
      <c r="D51" s="33" t="n"/>
      <c r="E51" s="33" t="n"/>
      <c r="F51" s="5" t="n"/>
      <c r="G51" s="33" t="n"/>
      <c r="H51" s="33" t="n"/>
    </row>
    <row r="52">
      <c r="A52" s="33" t="n"/>
      <c r="B52" s="33" t="n"/>
      <c r="C52" s="33" t="n"/>
      <c r="D52" s="33" t="n"/>
      <c r="E52" s="33" t="n"/>
      <c r="F52" s="5" t="n"/>
      <c r="G52" s="33" t="n"/>
      <c r="H52" s="33" t="n"/>
    </row>
    <row r="53">
      <c r="A53" s="33" t="n"/>
      <c r="B53" s="33" t="n"/>
      <c r="C53" s="33" t="n"/>
      <c r="D53" s="33" t="n"/>
      <c r="E53" s="33" t="n"/>
      <c r="F53" s="5" t="n"/>
      <c r="G53" s="33" t="n"/>
      <c r="H53" s="33" t="n"/>
    </row>
    <row r="54">
      <c r="A54" s="33" t="n"/>
      <c r="B54" s="33" t="n"/>
      <c r="C54" s="33" t="n"/>
      <c r="D54" s="33" t="n"/>
      <c r="E54" s="33" t="n"/>
      <c r="F54" s="5" t="n"/>
      <c r="G54" s="33" t="n"/>
      <c r="H54" s="33" t="n"/>
    </row>
    <row r="55">
      <c r="A55" s="33" t="n"/>
      <c r="B55" s="33" t="n"/>
      <c r="C55" s="33" t="n"/>
      <c r="D55" s="33" t="n"/>
      <c r="E55" s="33" t="n"/>
      <c r="F55" s="5" t="n"/>
      <c r="G55" s="33" t="n"/>
      <c r="H55" s="33" t="n"/>
    </row>
    <row r="56">
      <c r="A56" s="33" t="n"/>
      <c r="B56" s="33" t="n"/>
      <c r="C56" s="33" t="n"/>
      <c r="D56" s="33" t="n"/>
      <c r="E56" s="33" t="n"/>
      <c r="F56" s="5" t="n"/>
      <c r="G56" s="33" t="n"/>
      <c r="H56" s="33" t="n"/>
    </row>
    <row r="57">
      <c r="A57" s="33" t="n"/>
      <c r="B57" s="33" t="n"/>
      <c r="C57" s="33" t="n"/>
      <c r="D57" s="33" t="n"/>
      <c r="E57" s="33" t="n"/>
      <c r="F57" s="5" t="n"/>
      <c r="G57" s="33" t="n"/>
      <c r="H57" s="33" t="n"/>
    </row>
    <row r="58">
      <c r="A58" s="33" t="n"/>
      <c r="B58" s="33" t="n"/>
      <c r="C58" s="33" t="n"/>
      <c r="D58" s="33" t="n"/>
      <c r="E58" s="33" t="n"/>
      <c r="F58" s="5" t="n"/>
      <c r="G58" s="33" t="n"/>
      <c r="H58" s="33" t="n"/>
    </row>
    <row r="59">
      <c r="A59" s="33" t="n"/>
      <c r="B59" s="33" t="n"/>
      <c r="C59" s="33" t="n"/>
      <c r="D59" s="33" t="n"/>
      <c r="E59" s="33" t="n"/>
      <c r="F59" s="5" t="n"/>
      <c r="G59" s="33" t="n"/>
      <c r="H59" s="33" t="n"/>
    </row>
    <row r="60">
      <c r="A60" s="33" t="n"/>
      <c r="B60" s="33" t="n"/>
      <c r="C60" s="33" t="n"/>
      <c r="D60" s="33" t="n"/>
      <c r="E60" s="33" t="n"/>
      <c r="F60" s="5" t="n"/>
      <c r="G60" s="33" t="n"/>
      <c r="H60" s="33" t="n"/>
    </row>
    <row r="61">
      <c r="A61" s="33" t="n"/>
      <c r="B61" s="33" t="n"/>
      <c r="C61" s="33" t="n"/>
      <c r="D61" s="33" t="n"/>
      <c r="E61" s="33" t="n"/>
      <c r="F61" s="5" t="n"/>
      <c r="G61" s="33" t="n"/>
      <c r="H61" s="33" t="n"/>
    </row>
    <row r="62">
      <c r="A62" s="33" t="n"/>
      <c r="B62" s="33" t="n"/>
      <c r="C62" s="33" t="n"/>
      <c r="D62" s="33" t="n"/>
      <c r="E62" s="33" t="n"/>
      <c r="F62" s="5" t="n"/>
      <c r="G62" s="33" t="n"/>
      <c r="H62" s="33" t="n"/>
    </row>
    <row r="63">
      <c r="A63" s="33" t="n"/>
      <c r="B63" s="33" t="n"/>
      <c r="C63" s="33" t="n"/>
      <c r="D63" s="33" t="n"/>
      <c r="E63" s="33" t="n"/>
      <c r="F63" s="5" t="n"/>
      <c r="G63" s="33" t="n"/>
      <c r="H63" s="33" t="n"/>
    </row>
    <row r="64">
      <c r="A64" s="33" t="n"/>
      <c r="B64" s="33" t="n"/>
      <c r="C64" s="33" t="n"/>
      <c r="D64" s="33" t="n"/>
      <c r="E64" s="33" t="n"/>
      <c r="F64" s="5" t="n"/>
      <c r="G64" s="33" t="n"/>
      <c r="H64" s="33" t="n"/>
    </row>
    <row r="65">
      <c r="A65" s="33" t="n"/>
      <c r="B65" s="33" t="n"/>
      <c r="C65" s="33" t="n"/>
      <c r="D65" s="33" t="n"/>
      <c r="E65" s="33" t="n"/>
      <c r="F65" s="5" t="n"/>
      <c r="G65" s="33" t="n"/>
      <c r="H65" s="33" t="n"/>
    </row>
    <row r="66">
      <c r="A66" s="33" t="n"/>
      <c r="B66" s="33" t="n"/>
      <c r="C66" s="33" t="n"/>
      <c r="D66" s="33" t="n"/>
      <c r="E66" s="33" t="n"/>
      <c r="F66" s="5" t="n"/>
      <c r="G66" s="33" t="n"/>
      <c r="H66" s="33" t="n"/>
    </row>
    <row r="67">
      <c r="A67" s="33" t="n"/>
      <c r="B67" s="33" t="n"/>
      <c r="C67" s="33" t="n"/>
      <c r="D67" s="33" t="n"/>
      <c r="E67" s="33" t="n"/>
      <c r="F67" s="5" t="n"/>
      <c r="G67" s="33" t="n"/>
      <c r="H67" s="33" t="n"/>
    </row>
    <row r="68">
      <c r="A68" s="33" t="n"/>
      <c r="B68" s="33" t="n"/>
      <c r="C68" s="33" t="n"/>
      <c r="D68" s="33" t="n"/>
      <c r="E68" s="33" t="n"/>
      <c r="F68" s="5" t="n"/>
      <c r="G68" s="33" t="n"/>
      <c r="H68" s="33" t="n"/>
    </row>
    <row r="69">
      <c r="A69" s="33" t="n"/>
      <c r="B69" s="33" t="n"/>
      <c r="C69" s="33" t="n"/>
      <c r="D69" s="33" t="n"/>
      <c r="E69" s="33" t="n"/>
      <c r="F69" s="5" t="n"/>
      <c r="G69" s="33" t="n"/>
      <c r="H69" s="33" t="n"/>
    </row>
    <row r="70">
      <c r="A70" s="33" t="n"/>
      <c r="B70" s="33" t="n"/>
      <c r="C70" s="33" t="n"/>
      <c r="D70" s="33" t="n"/>
      <c r="E70" s="33" t="n"/>
      <c r="F70" s="5" t="n"/>
      <c r="G70" s="33" t="n"/>
      <c r="H70" s="33" t="n"/>
    </row>
    <row r="71">
      <c r="A71" s="33" t="n"/>
      <c r="B71" s="33" t="n"/>
      <c r="C71" s="33" t="n"/>
      <c r="D71" s="33" t="n"/>
      <c r="E71" s="33" t="n"/>
      <c r="F71" s="5" t="n"/>
      <c r="G71" s="33" t="n"/>
      <c r="H71" s="33" t="n"/>
    </row>
    <row r="72">
      <c r="A72" s="33" t="n"/>
      <c r="B72" s="33" t="n"/>
      <c r="C72" s="33" t="n"/>
      <c r="D72" s="33" t="n"/>
      <c r="E72" s="33" t="n"/>
      <c r="F72" s="5" t="n"/>
      <c r="G72" s="33" t="n"/>
      <c r="H72" s="33" t="n"/>
    </row>
    <row r="73">
      <c r="A73" s="33" t="n"/>
      <c r="B73" s="33" t="n"/>
      <c r="C73" s="33" t="n"/>
      <c r="D73" s="33" t="n"/>
      <c r="E73" s="33" t="n"/>
      <c r="F73" s="5" t="n"/>
      <c r="G73" s="33" t="n"/>
      <c r="H73" s="33" t="n"/>
    </row>
    <row r="74">
      <c r="A74" s="33" t="n"/>
      <c r="B74" s="33" t="n"/>
      <c r="C74" s="33" t="n"/>
      <c r="D74" s="33" t="n"/>
      <c r="E74" s="33" t="n"/>
      <c r="F74" s="5" t="n"/>
      <c r="G74" s="33" t="n"/>
      <c r="H74" s="33" t="n"/>
    </row>
    <row r="75">
      <c r="A75" s="33" t="n"/>
      <c r="B75" s="33" t="n"/>
      <c r="C75" s="33" t="n"/>
      <c r="D75" s="33" t="n"/>
      <c r="E75" s="33" t="n"/>
      <c r="F75" s="5" t="n"/>
      <c r="G75" s="33" t="n"/>
      <c r="H75" s="33" t="n"/>
    </row>
    <row r="76">
      <c r="A76" s="33" t="n"/>
      <c r="B76" s="33" t="n"/>
      <c r="C76" s="33" t="n"/>
      <c r="D76" s="33" t="n"/>
      <c r="E76" s="33" t="n"/>
      <c r="F76" s="5" t="n"/>
      <c r="G76" s="33" t="n"/>
      <c r="H76" s="33" t="n"/>
    </row>
    <row r="77">
      <c r="A77" s="33" t="n"/>
      <c r="B77" s="33" t="n"/>
      <c r="C77" s="33" t="n"/>
      <c r="D77" s="33" t="n"/>
      <c r="E77" s="33" t="n"/>
      <c r="F77" s="5" t="n"/>
      <c r="G77" s="33" t="n"/>
      <c r="H77" s="33" t="n"/>
    </row>
    <row r="78">
      <c r="A78" s="33" t="n"/>
      <c r="B78" s="33" t="n"/>
      <c r="C78" s="33" t="n"/>
      <c r="D78" s="33" t="n"/>
      <c r="E78" s="33" t="n"/>
      <c r="F78" s="5" t="n"/>
      <c r="G78" s="33" t="n"/>
      <c r="H78" s="33" t="n"/>
    </row>
    <row r="79">
      <c r="A79" s="33" t="n"/>
      <c r="B79" s="33" t="n"/>
      <c r="C79" s="33" t="n"/>
      <c r="D79" s="33" t="n"/>
      <c r="E79" s="33" t="n"/>
      <c r="F79" s="5" t="n"/>
      <c r="G79" s="33" t="n"/>
      <c r="H79" s="33" t="n"/>
    </row>
    <row r="80">
      <c r="A80" s="33" t="n"/>
      <c r="B80" s="33" t="n"/>
      <c r="C80" s="33" t="n"/>
      <c r="D80" s="33" t="n"/>
      <c r="E80" s="33" t="n"/>
      <c r="F80" s="5" t="n"/>
      <c r="G80" s="33" t="n"/>
      <c r="H80" s="33" t="n"/>
    </row>
    <row r="81">
      <c r="A81" s="33" t="n"/>
      <c r="B81" s="33" t="n"/>
      <c r="C81" s="33" t="n"/>
      <c r="D81" s="33" t="n"/>
      <c r="E81" s="33" t="n"/>
      <c r="F81" s="5" t="n"/>
      <c r="G81" s="33" t="n"/>
      <c r="H81" s="33" t="n"/>
    </row>
    <row r="82">
      <c r="A82" s="33" t="n"/>
      <c r="B82" s="33" t="n"/>
      <c r="C82" s="33" t="n"/>
      <c r="D82" s="33" t="n"/>
      <c r="E82" s="33" t="n"/>
      <c r="F82" s="5" t="n"/>
      <c r="G82" s="33" t="n"/>
      <c r="H82" s="33" t="n"/>
    </row>
    <row r="83">
      <c r="A83" s="33" t="n"/>
      <c r="B83" s="33" t="n"/>
      <c r="C83" s="33" t="n"/>
      <c r="D83" s="33" t="n"/>
      <c r="E83" s="33" t="n"/>
      <c r="F83" s="5" t="n"/>
      <c r="G83" s="33" t="n"/>
      <c r="H83" s="33" t="n"/>
    </row>
    <row r="84">
      <c r="A84" s="33" t="n"/>
      <c r="B84" s="33" t="n"/>
      <c r="C84" s="33" t="n"/>
      <c r="D84" s="33" t="n"/>
      <c r="E84" s="33" t="n"/>
      <c r="F84" s="5" t="n"/>
      <c r="G84" s="33" t="n"/>
      <c r="H84" s="33" t="n"/>
    </row>
    <row r="85">
      <c r="A85" s="33" t="n"/>
      <c r="B85" s="33" t="n"/>
      <c r="C85" s="33" t="n"/>
      <c r="D85" s="33" t="n"/>
      <c r="E85" s="33" t="n"/>
      <c r="F85" s="5" t="n"/>
      <c r="G85" s="33" t="n"/>
      <c r="H85" s="33" t="n"/>
    </row>
    <row r="86">
      <c r="A86" s="33" t="n"/>
      <c r="B86" s="33" t="n"/>
      <c r="C86" s="33" t="n"/>
      <c r="D86" s="33" t="n"/>
      <c r="E86" s="33" t="n"/>
      <c r="F86" s="5" t="n"/>
      <c r="G86" s="33" t="n"/>
      <c r="H86" s="33" t="n"/>
    </row>
    <row r="87">
      <c r="A87" s="33" t="n"/>
      <c r="B87" s="33" t="n"/>
      <c r="C87" s="33" t="n"/>
      <c r="D87" s="33" t="n"/>
      <c r="E87" s="33" t="n"/>
      <c r="F87" s="5" t="n"/>
      <c r="G87" s="33" t="n"/>
      <c r="H87" s="33" t="n"/>
    </row>
    <row r="88">
      <c r="A88" s="33" t="n"/>
      <c r="B88" s="33" t="n"/>
      <c r="C88" s="33" t="n"/>
      <c r="D88" s="33" t="n"/>
      <c r="E88" s="33" t="n"/>
      <c r="F88" s="5" t="n"/>
      <c r="G88" s="33" t="n"/>
      <c r="H88" s="33" t="n"/>
    </row>
    <row r="89">
      <c r="A89" s="33" t="n"/>
      <c r="B89" s="33" t="n"/>
      <c r="C89" s="33" t="n"/>
      <c r="D89" s="33" t="n"/>
      <c r="E89" s="33" t="n"/>
      <c r="F89" s="5" t="n"/>
      <c r="G89" s="33" t="n"/>
      <c r="H89" s="33" t="n"/>
    </row>
    <row r="90">
      <c r="A90" s="33" t="n"/>
      <c r="B90" s="33" t="n"/>
      <c r="C90" s="33" t="n"/>
      <c r="D90" s="33" t="n"/>
      <c r="E90" s="33" t="n"/>
      <c r="F90" s="5" t="n"/>
      <c r="G90" s="33" t="n"/>
      <c r="H90" s="33" t="n"/>
    </row>
    <row r="91">
      <c r="A91" s="33" t="n"/>
      <c r="B91" s="33" t="n"/>
      <c r="C91" s="33" t="n"/>
      <c r="D91" s="33" t="n"/>
      <c r="E91" s="33" t="n"/>
      <c r="F91" s="5" t="n"/>
      <c r="G91" s="33" t="n"/>
      <c r="H91" s="33" t="n"/>
    </row>
    <row r="92">
      <c r="A92" s="33" t="n"/>
      <c r="B92" s="33" t="n"/>
      <c r="C92" s="33" t="n"/>
      <c r="D92" s="33" t="n"/>
      <c r="E92" s="33" t="n"/>
      <c r="F92" s="5" t="n"/>
      <c r="G92" s="33" t="n"/>
      <c r="H92" s="33" t="n"/>
    </row>
    <row r="93">
      <c r="A93" s="33" t="n"/>
      <c r="B93" s="33" t="n"/>
      <c r="C93" s="33" t="n"/>
      <c r="D93" s="33" t="n"/>
      <c r="E93" s="33" t="n"/>
      <c r="F93" s="5" t="n"/>
      <c r="G93" s="33" t="n"/>
      <c r="H93" s="33" t="n"/>
    </row>
    <row r="94">
      <c r="A94" s="33" t="n"/>
      <c r="B94" s="33" t="n"/>
      <c r="C94" s="33" t="n"/>
      <c r="D94" s="33" t="n"/>
      <c r="E94" s="33" t="n"/>
      <c r="F94" s="5" t="n"/>
      <c r="G94" s="33" t="n"/>
      <c r="H94" s="33" t="n"/>
    </row>
    <row r="95">
      <c r="A95" s="33" t="n"/>
      <c r="B95" s="33" t="n"/>
      <c r="C95" s="33" t="n"/>
      <c r="D95" s="33" t="n"/>
      <c r="E95" s="33" t="n"/>
      <c r="F95" s="5" t="n"/>
      <c r="G95" s="33" t="n"/>
      <c r="H95" s="33" t="n"/>
    </row>
    <row r="96">
      <c r="A96" s="33" t="n"/>
      <c r="B96" s="33" t="n"/>
      <c r="C96" s="33" t="n"/>
      <c r="D96" s="33" t="n"/>
      <c r="E96" s="33" t="n"/>
      <c r="F96" s="5" t="n"/>
      <c r="G96" s="33" t="n"/>
      <c r="H96" s="33" t="n"/>
    </row>
    <row r="97">
      <c r="A97" s="33" t="n"/>
      <c r="B97" s="33" t="n"/>
      <c r="C97" s="33" t="n"/>
      <c r="D97" s="33" t="n"/>
      <c r="E97" s="33" t="n"/>
      <c r="F97" s="5" t="n"/>
      <c r="G97" s="33" t="n"/>
      <c r="H97" s="33" t="n"/>
    </row>
    <row r="98">
      <c r="A98" s="33" t="n"/>
      <c r="B98" s="33" t="n"/>
      <c r="C98" s="33" t="n"/>
      <c r="D98" s="33" t="n"/>
      <c r="E98" s="33" t="n"/>
      <c r="F98" s="5" t="n"/>
      <c r="G98" s="33" t="n"/>
      <c r="H98" s="33" t="n"/>
    </row>
    <row r="99">
      <c r="A99" s="33" t="n"/>
      <c r="B99" s="33" t="n"/>
      <c r="C99" s="33" t="n"/>
      <c r="D99" s="33" t="n"/>
      <c r="E99" s="33" t="n"/>
      <c r="F99" s="5" t="n"/>
      <c r="G99" s="33" t="n"/>
      <c r="H99" s="33" t="n"/>
    </row>
    <row r="100">
      <c r="A100" s="33" t="n"/>
      <c r="B100" s="33" t="n"/>
      <c r="C100" s="33" t="n"/>
      <c r="D100" s="33" t="n"/>
      <c r="E100" s="33" t="n"/>
      <c r="F100" s="5" t="n"/>
      <c r="G100" s="33" t="n"/>
      <c r="H100" s="33" t="n"/>
    </row>
    <row r="101">
      <c r="A101" s="33" t="n"/>
      <c r="B101" s="33" t="n"/>
      <c r="C101" s="33" t="n"/>
      <c r="D101" s="33" t="n"/>
      <c r="E101" s="33" t="n"/>
      <c r="F101" s="5" t="n"/>
      <c r="G101" s="33" t="n"/>
      <c r="H101" s="33" t="n"/>
    </row>
    <row r="102">
      <c r="A102" s="33" t="n"/>
      <c r="B102" s="33" t="n"/>
      <c r="C102" s="33" t="n"/>
      <c r="D102" s="33" t="n"/>
      <c r="E102" s="33" t="n"/>
      <c r="F102" s="5" t="n"/>
      <c r="G102" s="33" t="n"/>
      <c r="H102" s="33" t="n"/>
    </row>
    <row r="103">
      <c r="A103" s="33" t="n"/>
      <c r="B103" s="33" t="n"/>
      <c r="C103" s="33" t="n"/>
      <c r="D103" s="33" t="n"/>
      <c r="E103" s="33" t="n"/>
      <c r="F103" s="5" t="n"/>
      <c r="G103" s="33" t="n"/>
      <c r="H103" s="33" t="n"/>
    </row>
    <row r="104">
      <c r="A104" s="33" t="n"/>
      <c r="B104" s="33" t="n"/>
      <c r="C104" s="33" t="n"/>
      <c r="D104" s="33" t="n"/>
      <c r="E104" s="33" t="n"/>
      <c r="F104" s="5" t="n"/>
      <c r="G104" s="33" t="n"/>
      <c r="H104" s="33" t="n"/>
    </row>
    <row r="105">
      <c r="A105" s="33" t="n"/>
      <c r="B105" s="33" t="n"/>
      <c r="C105" s="33" t="n"/>
      <c r="D105" s="33" t="n"/>
      <c r="E105" s="33" t="n"/>
      <c r="F105" s="5" t="n"/>
      <c r="G105" s="33" t="n"/>
      <c r="H105" s="33" t="n"/>
    </row>
    <row r="106">
      <c r="A106" s="33" t="n"/>
      <c r="B106" s="33" t="n"/>
      <c r="C106" s="33" t="n"/>
      <c r="D106" s="33" t="n"/>
      <c r="E106" s="33" t="n"/>
      <c r="F106" s="5" t="n"/>
      <c r="G106" s="33" t="n"/>
      <c r="H106" s="33" t="n"/>
    </row>
    <row r="107">
      <c r="A107" s="33" t="n"/>
      <c r="B107" s="33" t="n"/>
      <c r="C107" s="33" t="n"/>
      <c r="D107" s="33" t="n"/>
      <c r="E107" s="33" t="n"/>
      <c r="F107" s="5" t="n"/>
      <c r="G107" s="33" t="n"/>
      <c r="H107" s="33" t="n"/>
    </row>
    <row r="108">
      <c r="A108" s="33" t="n"/>
      <c r="B108" s="33" t="n"/>
      <c r="C108" s="33" t="n"/>
      <c r="D108" s="33" t="n"/>
      <c r="E108" s="33" t="n"/>
      <c r="F108" s="5" t="n"/>
      <c r="G108" s="33" t="n"/>
      <c r="H108" s="33" t="n"/>
    </row>
    <row r="109">
      <c r="A109" s="33" t="n"/>
      <c r="B109" s="33" t="n"/>
      <c r="C109" s="33" t="n"/>
      <c r="D109" s="33" t="n"/>
      <c r="E109" s="33" t="n"/>
      <c r="F109" s="5" t="n"/>
      <c r="G109" s="33" t="n"/>
      <c r="H109" s="33" t="n"/>
    </row>
    <row r="110">
      <c r="A110" s="33" t="n"/>
      <c r="B110" s="33" t="n"/>
      <c r="C110" s="33" t="n"/>
      <c r="D110" s="33" t="n"/>
      <c r="E110" s="33" t="n"/>
      <c r="F110" s="5" t="n"/>
      <c r="G110" s="33" t="n"/>
      <c r="H110" s="33" t="n"/>
    </row>
    <row r="111">
      <c r="A111" s="33" t="n"/>
      <c r="B111" s="33" t="n"/>
      <c r="C111" s="33" t="n"/>
      <c r="D111" s="33" t="n"/>
      <c r="E111" s="33" t="n"/>
      <c r="F111" s="5" t="n"/>
      <c r="G111" s="33" t="n"/>
      <c r="H111" s="33" t="n"/>
    </row>
    <row r="112">
      <c r="A112" s="33" t="n"/>
      <c r="B112" s="33" t="n"/>
      <c r="C112" s="33" t="n"/>
      <c r="D112" s="33" t="n"/>
      <c r="E112" s="33" t="n"/>
      <c r="F112" s="5" t="n"/>
      <c r="G112" s="33" t="n"/>
      <c r="H112" s="33" t="n"/>
    </row>
    <row r="113">
      <c r="A113" s="33" t="n"/>
      <c r="B113" s="33" t="n"/>
      <c r="C113" s="33" t="n"/>
      <c r="D113" s="33" t="n"/>
      <c r="E113" s="33" t="n"/>
      <c r="F113" s="5" t="n"/>
      <c r="G113" s="33" t="n"/>
      <c r="H113" s="33" t="n"/>
    </row>
    <row r="114">
      <c r="A114" s="33" t="n"/>
      <c r="B114" s="33" t="n"/>
      <c r="C114" s="33" t="n"/>
      <c r="D114" s="33" t="n"/>
      <c r="E114" s="33" t="n"/>
      <c r="F114" s="5" t="n"/>
      <c r="G114" s="33" t="n"/>
      <c r="H114" s="33" t="n"/>
    </row>
    <row r="115">
      <c r="A115" s="33" t="n"/>
      <c r="B115" s="33" t="n"/>
      <c r="C115" s="33" t="n"/>
      <c r="D115" s="33" t="n"/>
      <c r="E115" s="33" t="n"/>
      <c r="F115" s="5" t="n"/>
      <c r="G115" s="33" t="n"/>
      <c r="H115" s="33" t="n"/>
    </row>
    <row r="116">
      <c r="A116" s="33" t="n"/>
      <c r="B116" s="33" t="n"/>
      <c r="C116" s="33" t="n"/>
      <c r="D116" s="33" t="n"/>
      <c r="E116" s="33" t="n"/>
      <c r="F116" s="5" t="n"/>
      <c r="G116" s="33" t="n"/>
      <c r="H116" s="33" t="n"/>
    </row>
    <row r="117">
      <c r="A117" s="33" t="n"/>
      <c r="B117" s="33" t="n"/>
      <c r="C117" s="33" t="n"/>
      <c r="D117" s="33" t="n"/>
      <c r="E117" s="33" t="n"/>
      <c r="F117" s="5" t="n"/>
      <c r="G117" s="33" t="n"/>
      <c r="H117" s="33" t="n"/>
    </row>
    <row r="118">
      <c r="A118" s="33" t="n"/>
      <c r="B118" s="33" t="n"/>
      <c r="C118" s="33" t="n"/>
      <c r="D118" s="33" t="n"/>
      <c r="E118" s="33" t="n"/>
      <c r="F118" s="5" t="n"/>
      <c r="G118" s="33" t="n"/>
      <c r="H118" s="33" t="n"/>
    </row>
    <row r="119">
      <c r="A119" s="33" t="n"/>
      <c r="B119" s="33" t="n"/>
      <c r="C119" s="33" t="n"/>
      <c r="D119" s="33" t="n"/>
      <c r="E119" s="33" t="n"/>
      <c r="F119" s="5" t="n"/>
      <c r="G119" s="33" t="n"/>
      <c r="H119" s="33" t="n"/>
    </row>
    <row r="120">
      <c r="A120" s="33" t="n"/>
      <c r="B120" s="33" t="n"/>
      <c r="C120" s="33" t="n"/>
      <c r="D120" s="33" t="n"/>
      <c r="E120" s="33" t="n"/>
      <c r="F120" s="5" t="n"/>
      <c r="G120" s="33" t="n"/>
      <c r="H120" s="33" t="n"/>
    </row>
    <row r="121">
      <c r="A121" s="33" t="n"/>
      <c r="B121" s="33" t="n"/>
      <c r="C121" s="33" t="n"/>
      <c r="D121" s="33" t="n"/>
      <c r="E121" s="33" t="n"/>
      <c r="F121" s="5" t="n"/>
      <c r="G121" s="33" t="n"/>
      <c r="H121" s="33" t="n"/>
    </row>
    <row r="122">
      <c r="A122" s="33" t="n"/>
      <c r="B122" s="33" t="n"/>
      <c r="C122" s="33" t="n"/>
      <c r="D122" s="33" t="n"/>
      <c r="E122" s="33" t="n"/>
      <c r="F122" s="5" t="n"/>
      <c r="G122" s="33" t="n"/>
      <c r="H122" s="33" t="n"/>
    </row>
    <row r="123">
      <c r="A123" s="33" t="n"/>
      <c r="B123" s="33" t="n"/>
      <c r="C123" s="33" t="n"/>
      <c r="D123" s="33" t="n"/>
      <c r="E123" s="33" t="n"/>
      <c r="F123" s="5" t="n"/>
      <c r="G123" s="33" t="n"/>
      <c r="H123" s="33" t="n"/>
    </row>
    <row r="124">
      <c r="A124" s="33" t="n"/>
      <c r="B124" s="33" t="n"/>
      <c r="C124" s="33" t="n"/>
      <c r="D124" s="33" t="n"/>
      <c r="E124" s="33" t="n"/>
      <c r="F124" s="5" t="n"/>
      <c r="G124" s="33" t="n"/>
      <c r="H124" s="33" t="n"/>
    </row>
    <row r="125">
      <c r="A125" s="33" t="n"/>
      <c r="B125" s="33" t="n"/>
      <c r="C125" s="33" t="n"/>
      <c r="D125" s="33" t="n"/>
      <c r="E125" s="33" t="n"/>
      <c r="F125" s="5" t="n"/>
      <c r="G125" s="33" t="n"/>
      <c r="H125" s="33" t="n"/>
    </row>
    <row r="126">
      <c r="A126" s="33" t="n"/>
      <c r="B126" s="33" t="n"/>
      <c r="C126" s="33" t="n"/>
      <c r="D126" s="33" t="n"/>
      <c r="E126" s="33" t="n"/>
      <c r="F126" s="5" t="n"/>
      <c r="G126" s="33" t="n"/>
      <c r="H126" s="33" t="n"/>
    </row>
    <row r="127">
      <c r="A127" s="33" t="n"/>
      <c r="B127" s="33" t="n"/>
      <c r="C127" s="33" t="n"/>
      <c r="D127" s="33" t="n"/>
      <c r="E127" s="33" t="n"/>
      <c r="F127" s="5" t="n"/>
      <c r="G127" s="33" t="n"/>
      <c r="H127" s="33" t="n"/>
    </row>
    <row r="128">
      <c r="A128" s="33" t="n"/>
      <c r="B128" s="33" t="n"/>
      <c r="C128" s="33" t="n"/>
      <c r="D128" s="33" t="n"/>
      <c r="E128" s="33" t="n"/>
      <c r="F128" s="5" t="n"/>
      <c r="G128" s="33" t="n"/>
      <c r="H128" s="33" t="n"/>
    </row>
    <row r="129">
      <c r="A129" s="33" t="n"/>
      <c r="B129" s="33" t="n"/>
      <c r="C129" s="33" t="n"/>
      <c r="D129" s="33" t="n"/>
      <c r="E129" s="33" t="n"/>
      <c r="F129" s="5" t="n"/>
      <c r="G129" s="33" t="n"/>
      <c r="H129" s="33" t="n"/>
    </row>
    <row r="130">
      <c r="A130" s="33" t="n"/>
      <c r="B130" s="33" t="n"/>
      <c r="C130" s="33" t="n"/>
      <c r="D130" s="33" t="n"/>
      <c r="E130" s="33" t="n"/>
      <c r="F130" s="5" t="n"/>
      <c r="G130" s="33" t="n"/>
      <c r="H130" s="33" t="n"/>
    </row>
    <row r="131">
      <c r="A131" s="33" t="n"/>
      <c r="B131" s="33" t="n"/>
      <c r="C131" s="33" t="n"/>
      <c r="D131" s="33" t="n"/>
      <c r="E131" s="33" t="n"/>
      <c r="F131" s="5" t="n"/>
      <c r="G131" s="33" t="n"/>
      <c r="H131" s="33" t="n"/>
    </row>
    <row r="132">
      <c r="A132" s="33" t="n"/>
      <c r="B132" s="33" t="n"/>
      <c r="C132" s="33" t="n"/>
      <c r="D132" s="33" t="n"/>
      <c r="E132" s="33" t="n"/>
      <c r="F132" s="5" t="n"/>
      <c r="G132" s="33" t="n"/>
      <c r="H132" s="33" t="n"/>
    </row>
    <row r="133">
      <c r="A133" s="33" t="n"/>
      <c r="B133" s="33" t="n"/>
      <c r="C133" s="33" t="n"/>
      <c r="D133" s="33" t="n"/>
      <c r="E133" s="33" t="n"/>
      <c r="F133" s="5" t="n"/>
      <c r="G133" s="33" t="n"/>
      <c r="H133" s="33" t="n"/>
    </row>
    <row r="134">
      <c r="A134" s="33" t="n"/>
      <c r="B134" s="33" t="n"/>
      <c r="C134" s="33" t="n"/>
      <c r="D134" s="33" t="n"/>
      <c r="E134" s="33" t="n"/>
      <c r="F134" s="5" t="n"/>
      <c r="G134" s="33" t="n"/>
      <c r="H134" s="33" t="n"/>
    </row>
    <row r="135">
      <c r="A135" s="33" t="n"/>
      <c r="B135" s="33" t="n"/>
      <c r="C135" s="33" t="n"/>
      <c r="D135" s="33" t="n"/>
      <c r="E135" s="33" t="n"/>
      <c r="F135" s="5" t="n"/>
      <c r="G135" s="33" t="n"/>
      <c r="H135" s="33" t="n"/>
    </row>
    <row r="136">
      <c r="A136" s="33" t="n"/>
      <c r="B136" s="33" t="n"/>
      <c r="C136" s="33" t="n"/>
      <c r="D136" s="33" t="n"/>
      <c r="E136" s="33" t="n"/>
      <c r="F136" s="5" t="n"/>
      <c r="G136" s="33" t="n"/>
      <c r="H136" s="33" t="n"/>
    </row>
    <row r="137">
      <c r="A137" s="33" t="n"/>
      <c r="B137" s="33" t="n"/>
      <c r="C137" s="33" t="n"/>
      <c r="D137" s="33" t="n"/>
      <c r="E137" s="33" t="n"/>
      <c r="F137" s="5" t="n"/>
      <c r="G137" s="33" t="n"/>
      <c r="H137" s="33" t="n"/>
    </row>
    <row r="138">
      <c r="A138" s="33" t="n"/>
      <c r="B138" s="33" t="n"/>
      <c r="C138" s="33" t="n"/>
      <c r="D138" s="33" t="n"/>
      <c r="E138" s="33" t="n"/>
      <c r="F138" s="5" t="n"/>
      <c r="G138" s="33" t="n"/>
      <c r="H138" s="33" t="n"/>
    </row>
    <row r="139">
      <c r="A139" s="33" t="n"/>
      <c r="B139" s="33" t="n"/>
      <c r="C139" s="33" t="n"/>
      <c r="D139" s="33" t="n"/>
      <c r="E139" s="33" t="n"/>
      <c r="F139" s="5" t="n"/>
      <c r="G139" s="33" t="n"/>
      <c r="H139" s="33" t="n"/>
    </row>
    <row r="140">
      <c r="A140" s="33" t="n"/>
      <c r="B140" s="33" t="n"/>
      <c r="C140" s="33" t="n"/>
      <c r="D140" s="33" t="n"/>
      <c r="E140" s="33" t="n"/>
      <c r="F140" s="5" t="n"/>
      <c r="G140" s="33" t="n"/>
      <c r="H140" s="33" t="n"/>
    </row>
    <row r="141">
      <c r="A141" s="33" t="n"/>
      <c r="B141" s="33" t="n"/>
      <c r="C141" s="33" t="n"/>
      <c r="D141" s="33" t="n"/>
      <c r="E141" s="33" t="n"/>
      <c r="F141" s="5" t="n"/>
      <c r="G141" s="33" t="n"/>
      <c r="H141" s="33" t="n"/>
    </row>
    <row r="142">
      <c r="A142" s="33" t="n"/>
      <c r="B142" s="33" t="n"/>
      <c r="C142" s="33" t="n"/>
      <c r="D142" s="33" t="n"/>
      <c r="E142" s="33" t="n"/>
      <c r="F142" s="5" t="n"/>
      <c r="G142" s="33" t="n"/>
      <c r="H142" s="33" t="n"/>
    </row>
    <row r="143">
      <c r="A143" s="33" t="n"/>
      <c r="B143" s="33" t="n"/>
      <c r="C143" s="33" t="n"/>
      <c r="D143" s="33" t="n"/>
      <c r="E143" s="33" t="n"/>
      <c r="F143" s="5" t="n"/>
      <c r="G143" s="33" t="n"/>
      <c r="H143" s="33" t="n"/>
    </row>
    <row r="144">
      <c r="A144" s="33" t="n"/>
      <c r="B144" s="33" t="n"/>
      <c r="C144" s="33" t="n"/>
      <c r="D144" s="33" t="n"/>
      <c r="E144" s="33" t="n"/>
      <c r="F144" s="5" t="n"/>
      <c r="G144" s="33" t="n"/>
      <c r="H144" s="33" t="n"/>
    </row>
    <row r="145">
      <c r="A145" s="33" t="n"/>
      <c r="B145" s="33" t="n"/>
      <c r="C145" s="33" t="n"/>
      <c r="D145" s="33" t="n"/>
      <c r="E145" s="33" t="n"/>
      <c r="F145" s="5" t="n"/>
      <c r="G145" s="33" t="n"/>
      <c r="H145" s="33" t="n"/>
    </row>
    <row r="146">
      <c r="A146" s="33" t="n"/>
      <c r="B146" s="33" t="n"/>
      <c r="C146" s="33" t="n"/>
      <c r="D146" s="33" t="n"/>
      <c r="E146" s="33" t="n"/>
      <c r="F146" s="5" t="n"/>
      <c r="G146" s="33" t="n"/>
      <c r="H146" s="33" t="n"/>
    </row>
    <row r="147">
      <c r="A147" s="33" t="n"/>
      <c r="B147" s="33" t="n"/>
      <c r="C147" s="33" t="n"/>
      <c r="D147" s="33" t="n"/>
      <c r="E147" s="33" t="n"/>
      <c r="F147" s="5" t="n"/>
      <c r="G147" s="33" t="n"/>
      <c r="H147" s="33" t="n"/>
    </row>
    <row r="148">
      <c r="A148" s="33" t="n"/>
      <c r="B148" s="33" t="n"/>
      <c r="C148" s="33" t="n"/>
      <c r="D148" s="33" t="n"/>
      <c r="E148" s="33" t="n"/>
      <c r="F148" s="5" t="n"/>
      <c r="G148" s="33" t="n"/>
      <c r="H148" s="33" t="n"/>
    </row>
    <row r="149">
      <c r="A149" s="33" t="n"/>
      <c r="B149" s="33" t="n"/>
      <c r="C149" s="33" t="n"/>
      <c r="D149" s="33" t="n"/>
      <c r="E149" s="33" t="n"/>
      <c r="F149" s="5" t="n"/>
      <c r="G149" s="33" t="n"/>
      <c r="H149" s="33" t="n"/>
    </row>
    <row r="150">
      <c r="A150" s="33" t="n"/>
      <c r="B150" s="33" t="n"/>
      <c r="C150" s="33" t="n"/>
      <c r="D150" s="33" t="n"/>
      <c r="E150" s="33" t="n"/>
      <c r="F150" s="5" t="n"/>
      <c r="G150" s="33" t="n"/>
      <c r="H150" s="33" t="n"/>
    </row>
    <row r="151">
      <c r="A151" s="33" t="n"/>
      <c r="B151" s="33" t="n"/>
      <c r="C151" s="33" t="n"/>
      <c r="D151" s="33" t="n"/>
      <c r="E151" s="33" t="n"/>
      <c r="F151" s="5" t="n"/>
      <c r="G151" s="33" t="n"/>
      <c r="H151" s="33" t="n"/>
    </row>
    <row r="152">
      <c r="A152" s="33" t="n"/>
      <c r="B152" s="33" t="n"/>
      <c r="C152" s="33" t="n"/>
      <c r="D152" s="33" t="n"/>
      <c r="E152" s="33" t="n"/>
      <c r="F152" s="5" t="n"/>
      <c r="G152" s="33" t="n"/>
      <c r="H152" s="33" t="n"/>
    </row>
    <row r="153">
      <c r="A153" s="33" t="n"/>
      <c r="B153" s="33" t="n"/>
      <c r="C153" s="33" t="n"/>
      <c r="D153" s="33" t="n"/>
      <c r="E153" s="33" t="n"/>
      <c r="F153" s="5" t="n"/>
      <c r="G153" s="33" t="n"/>
      <c r="H153" s="33" t="n"/>
    </row>
    <row r="154">
      <c r="A154" s="33" t="n"/>
      <c r="B154" s="33" t="n"/>
      <c r="C154" s="33" t="n"/>
      <c r="D154" s="33" t="n"/>
      <c r="E154" s="33" t="n"/>
      <c r="F154" s="5" t="n"/>
      <c r="G154" s="33" t="n"/>
      <c r="H154" s="33" t="n"/>
    </row>
    <row r="155">
      <c r="A155" s="33" t="n"/>
      <c r="B155" s="33" t="n"/>
      <c r="C155" s="33" t="n"/>
      <c r="D155" s="33" t="n"/>
      <c r="E155" s="33" t="n"/>
      <c r="F155" s="5" t="n"/>
      <c r="G155" s="33" t="n"/>
      <c r="H155" s="33" t="n"/>
    </row>
    <row r="156">
      <c r="A156" s="33" t="n"/>
      <c r="B156" s="33" t="n"/>
      <c r="C156" s="33" t="n"/>
      <c r="D156" s="33" t="n"/>
      <c r="E156" s="33" t="n"/>
      <c r="F156" s="5" t="n"/>
      <c r="G156" s="33" t="n"/>
      <c r="H156" s="33" t="n"/>
    </row>
    <row r="157">
      <c r="A157" s="33" t="n"/>
      <c r="B157" s="33" t="n"/>
      <c r="C157" s="33" t="n"/>
      <c r="D157" s="33" t="n"/>
      <c r="E157" s="33" t="n"/>
      <c r="F157" s="5" t="n"/>
      <c r="G157" s="33" t="n"/>
      <c r="H157" s="33" t="n"/>
    </row>
    <row r="158">
      <c r="A158" s="33" t="n"/>
      <c r="B158" s="33" t="n"/>
      <c r="C158" s="33" t="n"/>
      <c r="D158" s="33" t="n"/>
      <c r="E158" s="33" t="n"/>
      <c r="F158" s="5" t="n"/>
      <c r="G158" s="33" t="n"/>
      <c r="H158" s="33" t="n"/>
    </row>
    <row r="159">
      <c r="A159" s="33" t="n"/>
      <c r="B159" s="33" t="n"/>
      <c r="C159" s="33" t="n"/>
      <c r="D159" s="33" t="n"/>
      <c r="E159" s="33" t="n"/>
      <c r="F159" s="5" t="n"/>
      <c r="G159" s="33" t="n"/>
      <c r="H159" s="33" t="n"/>
    </row>
    <row r="160">
      <c r="A160" s="33" t="n"/>
      <c r="B160" s="33" t="n"/>
      <c r="C160" s="33" t="n"/>
      <c r="D160" s="33" t="n"/>
      <c r="E160" s="33" t="n"/>
      <c r="F160" s="5" t="n"/>
      <c r="G160" s="33" t="n"/>
      <c r="H160" s="33" t="n"/>
    </row>
    <row r="161">
      <c r="A161" s="33" t="n"/>
      <c r="B161" s="33" t="n"/>
      <c r="C161" s="33" t="n"/>
      <c r="D161" s="33" t="n"/>
      <c r="E161" s="33" t="n"/>
      <c r="F161" s="5" t="n"/>
      <c r="G161" s="33" t="n"/>
      <c r="H161" s="33" t="n"/>
    </row>
    <row r="162">
      <c r="A162" s="33" t="n"/>
      <c r="B162" s="33" t="n"/>
      <c r="C162" s="33" t="n"/>
      <c r="D162" s="33" t="n"/>
      <c r="E162" s="33" t="n"/>
      <c r="F162" s="5" t="n"/>
      <c r="G162" s="33" t="n"/>
      <c r="H162" s="33" t="n"/>
    </row>
    <row r="163">
      <c r="A163" s="33" t="n"/>
      <c r="B163" s="33" t="n"/>
      <c r="C163" s="33" t="n"/>
      <c r="D163" s="33" t="n"/>
      <c r="E163" s="33" t="n"/>
      <c r="F163" s="5" t="n"/>
      <c r="G163" s="33" t="n"/>
      <c r="H163" s="33" t="n"/>
    </row>
    <row r="164">
      <c r="A164" s="33" t="n"/>
      <c r="B164" s="33" t="n"/>
      <c r="C164" s="33" t="n"/>
      <c r="D164" s="33" t="n"/>
      <c r="E164" s="33" t="n"/>
      <c r="F164" s="5" t="n"/>
      <c r="G164" s="33" t="n"/>
      <c r="H164" s="33" t="n"/>
    </row>
    <row r="165">
      <c r="A165" s="33" t="n"/>
      <c r="B165" s="33" t="n"/>
      <c r="C165" s="33" t="n"/>
      <c r="D165" s="33" t="n"/>
      <c r="E165" s="33" t="n"/>
      <c r="F165" s="5" t="n"/>
      <c r="G165" s="33" t="n"/>
      <c r="H165" s="33" t="n"/>
    </row>
    <row r="166">
      <c r="A166" s="33" t="n"/>
      <c r="B166" s="33" t="n"/>
      <c r="C166" s="33" t="n"/>
      <c r="D166" s="33" t="n"/>
      <c r="E166" s="33" t="n"/>
      <c r="F166" s="5" t="n"/>
      <c r="G166" s="33" t="n"/>
      <c r="H166" s="33" t="n"/>
    </row>
    <row r="167">
      <c r="A167" s="33" t="n"/>
      <c r="B167" s="33" t="n"/>
      <c r="C167" s="33" t="n"/>
      <c r="D167" s="33" t="n"/>
      <c r="E167" s="33" t="n"/>
      <c r="F167" s="5" t="n"/>
      <c r="G167" s="33" t="n"/>
      <c r="H167" s="33" t="n"/>
    </row>
    <row r="168">
      <c r="A168" s="33" t="n"/>
      <c r="B168" s="33" t="n"/>
      <c r="C168" s="33" t="n"/>
      <c r="D168" s="33" t="n"/>
      <c r="E168" s="33" t="n"/>
      <c r="F168" s="5" t="n"/>
      <c r="G168" s="33" t="n"/>
      <c r="H168" s="33" t="n"/>
    </row>
    <row r="169">
      <c r="A169" s="33" t="n"/>
      <c r="B169" s="33" t="n"/>
      <c r="C169" s="33" t="n"/>
      <c r="D169" s="33" t="n"/>
      <c r="E169" s="33" t="n"/>
      <c r="F169" s="5" t="n"/>
      <c r="G169" s="33" t="n"/>
      <c r="H169" s="33" t="n"/>
    </row>
    <row r="170">
      <c r="A170" s="33" t="n"/>
      <c r="B170" s="33" t="n"/>
      <c r="C170" s="33" t="n"/>
      <c r="D170" s="33" t="n"/>
      <c r="E170" s="33" t="n"/>
      <c r="F170" s="5" t="n"/>
      <c r="G170" s="33" t="n"/>
      <c r="H170" s="33" t="n"/>
    </row>
    <row r="171">
      <c r="A171" s="33" t="n"/>
      <c r="B171" s="33" t="n"/>
      <c r="C171" s="33" t="n"/>
      <c r="D171" s="33" t="n"/>
      <c r="E171" s="33" t="n"/>
      <c r="F171" s="5" t="n"/>
      <c r="G171" s="33" t="n"/>
      <c r="H171" s="33" t="n"/>
    </row>
    <row r="172">
      <c r="A172" s="33" t="n"/>
      <c r="B172" s="33" t="n"/>
      <c r="C172" s="33" t="n"/>
      <c r="D172" s="33" t="n"/>
      <c r="E172" s="33" t="n"/>
      <c r="F172" s="5" t="n"/>
      <c r="G172" s="33" t="n"/>
      <c r="H172" s="33" t="n"/>
    </row>
    <row r="173">
      <c r="A173" s="33" t="n"/>
      <c r="B173" s="33" t="n"/>
      <c r="C173" s="33" t="n"/>
      <c r="D173" s="33" t="n"/>
      <c r="E173" s="33" t="n"/>
      <c r="F173" s="5" t="n"/>
      <c r="G173" s="33" t="n"/>
      <c r="H173" s="33" t="n"/>
    </row>
    <row r="174">
      <c r="A174" s="33" t="n"/>
      <c r="B174" s="33" t="n"/>
      <c r="C174" s="33" t="n"/>
      <c r="D174" s="33" t="n"/>
      <c r="E174" s="33" t="n"/>
      <c r="F174" s="5" t="n"/>
      <c r="G174" s="33" t="n"/>
      <c r="H174" s="33" t="n"/>
    </row>
    <row r="175">
      <c r="A175" s="33" t="n"/>
      <c r="B175" s="33" t="n"/>
      <c r="C175" s="33" t="n"/>
      <c r="D175" s="33" t="n"/>
      <c r="E175" s="33" t="n"/>
      <c r="F175" s="5" t="n"/>
      <c r="G175" s="33" t="n"/>
      <c r="H175" s="33" t="n"/>
    </row>
    <row r="176">
      <c r="A176" s="33" t="n"/>
      <c r="B176" s="33" t="n"/>
      <c r="C176" s="33" t="n"/>
      <c r="D176" s="33" t="n"/>
      <c r="E176" s="33" t="n"/>
      <c r="F176" s="5" t="n"/>
      <c r="G176" s="33" t="n"/>
      <c r="H176" s="33" t="n"/>
    </row>
    <row r="177">
      <c r="A177" s="33" t="n"/>
      <c r="B177" s="33" t="n"/>
      <c r="C177" s="33" t="n"/>
      <c r="D177" s="33" t="n"/>
      <c r="E177" s="33" t="n"/>
      <c r="F177" s="5" t="n"/>
      <c r="G177" s="33" t="n"/>
      <c r="H177" s="33" t="n"/>
    </row>
    <row r="178">
      <c r="A178" s="33" t="n"/>
      <c r="B178" s="33" t="n"/>
      <c r="C178" s="33" t="n"/>
      <c r="D178" s="33" t="n"/>
      <c r="E178" s="33" t="n"/>
      <c r="F178" s="5" t="n"/>
      <c r="G178" s="33" t="n"/>
      <c r="H178" s="33" t="n"/>
    </row>
    <row r="179">
      <c r="A179" s="33" t="n"/>
      <c r="B179" s="33" t="n"/>
      <c r="C179" s="33" t="n"/>
      <c r="D179" s="33" t="n"/>
      <c r="E179" s="33" t="n"/>
      <c r="F179" s="5" t="n"/>
      <c r="G179" s="33" t="n"/>
      <c r="H179" s="33" t="n"/>
    </row>
    <row r="180">
      <c r="A180" s="33" t="n"/>
      <c r="B180" s="33" t="n"/>
      <c r="C180" s="33" t="n"/>
      <c r="D180" s="33" t="n"/>
      <c r="E180" s="33" t="n"/>
      <c r="F180" s="5" t="n"/>
      <c r="G180" s="33" t="n"/>
      <c r="H180" s="33" t="n"/>
    </row>
    <row r="181">
      <c r="A181" s="33" t="n"/>
      <c r="B181" s="33" t="n"/>
      <c r="C181" s="33" t="n"/>
      <c r="D181" s="33" t="n"/>
      <c r="E181" s="33" t="n"/>
      <c r="F181" s="5" t="n"/>
      <c r="G181" s="33" t="n"/>
      <c r="H181" s="33" t="n"/>
    </row>
    <row r="182">
      <c r="A182" s="33" t="n"/>
      <c r="B182" s="33" t="n"/>
      <c r="C182" s="33" t="n"/>
      <c r="D182" s="33" t="n"/>
      <c r="E182" s="33" t="n"/>
      <c r="F182" s="5" t="n"/>
      <c r="G182" s="33" t="n"/>
      <c r="H182" s="33" t="n"/>
    </row>
    <row r="183">
      <c r="A183" s="33" t="n"/>
      <c r="B183" s="33" t="n"/>
      <c r="C183" s="33" t="n"/>
      <c r="D183" s="33" t="n"/>
      <c r="E183" s="33" t="n"/>
      <c r="F183" s="5" t="n"/>
      <c r="G183" s="33" t="n"/>
      <c r="H183" s="33" t="n"/>
    </row>
    <row r="184">
      <c r="A184" s="33" t="n"/>
      <c r="B184" s="33" t="n"/>
      <c r="C184" s="33" t="n"/>
      <c r="D184" s="33" t="n"/>
      <c r="E184" s="33" t="n"/>
      <c r="F184" s="5" t="n"/>
      <c r="G184" s="33" t="n"/>
      <c r="H184" s="33" t="n"/>
    </row>
    <row r="185">
      <c r="A185" s="33" t="n"/>
      <c r="B185" s="33" t="n"/>
      <c r="C185" s="33" t="n"/>
      <c r="D185" s="33" t="n"/>
      <c r="E185" s="33" t="n"/>
      <c r="F185" s="5" t="n"/>
      <c r="G185" s="33" t="n"/>
      <c r="H185" s="33" t="n"/>
    </row>
    <row r="186">
      <c r="A186" s="33" t="n"/>
      <c r="B186" s="33" t="n"/>
      <c r="C186" s="33" t="n"/>
      <c r="D186" s="33" t="n"/>
      <c r="E186" s="33" t="n"/>
      <c r="F186" s="5" t="n"/>
      <c r="G186" s="33" t="n"/>
      <c r="H186" s="33" t="n"/>
    </row>
    <row r="187">
      <c r="A187" s="33" t="n"/>
      <c r="B187" s="33" t="n"/>
      <c r="C187" s="33" t="n"/>
      <c r="D187" s="33" t="n"/>
      <c r="E187" s="33" t="n"/>
      <c r="F187" s="5" t="n"/>
      <c r="G187" s="33" t="n"/>
      <c r="H187" s="33" t="n"/>
    </row>
    <row r="188">
      <c r="A188" s="33" t="n"/>
      <c r="B188" s="33" t="n"/>
      <c r="C188" s="33" t="n"/>
      <c r="D188" s="33" t="n"/>
      <c r="E188" s="33" t="n"/>
      <c r="F188" s="5" t="n"/>
      <c r="G188" s="33" t="n"/>
      <c r="H188" s="33" t="n"/>
    </row>
    <row r="189">
      <c r="A189" s="33" t="n"/>
      <c r="B189" s="33" t="n"/>
      <c r="C189" s="33" t="n"/>
      <c r="D189" s="33" t="n"/>
      <c r="E189" s="33" t="n"/>
      <c r="F189" s="5" t="n"/>
      <c r="G189" s="33" t="n"/>
      <c r="H189" s="33" t="n"/>
    </row>
    <row r="190">
      <c r="A190" s="33" t="n"/>
      <c r="B190" s="33" t="n"/>
      <c r="C190" s="33" t="n"/>
      <c r="D190" s="33" t="n"/>
      <c r="E190" s="33" t="n"/>
      <c r="F190" s="5" t="n"/>
      <c r="G190" s="33" t="n"/>
      <c r="H190" s="33" t="n"/>
    </row>
    <row r="191">
      <c r="A191" s="33" t="n"/>
      <c r="B191" s="33" t="n"/>
      <c r="C191" s="33" t="n"/>
      <c r="D191" s="33" t="n"/>
      <c r="E191" s="33" t="n"/>
      <c r="F191" s="5" t="n"/>
      <c r="G191" s="33" t="n"/>
      <c r="H191" s="33" t="n"/>
    </row>
    <row r="192">
      <c r="A192" s="33" t="n"/>
      <c r="B192" s="33" t="n"/>
      <c r="C192" s="33" t="n"/>
      <c r="D192" s="33" t="n"/>
      <c r="E192" s="33" t="n"/>
      <c r="F192" s="5" t="n"/>
      <c r="G192" s="33" t="n"/>
      <c r="H192" s="33" t="n"/>
    </row>
    <row r="193">
      <c r="A193" s="33" t="n"/>
      <c r="B193" s="33" t="n"/>
      <c r="C193" s="33" t="n"/>
      <c r="D193" s="33" t="n"/>
      <c r="E193" s="33" t="n"/>
      <c r="F193" s="5" t="n"/>
      <c r="G193" s="33" t="n"/>
      <c r="H193" s="33" t="n"/>
    </row>
    <row r="194">
      <c r="A194" s="33" t="n"/>
      <c r="B194" s="33" t="n"/>
      <c r="C194" s="33" t="n"/>
      <c r="D194" s="33" t="n"/>
      <c r="E194" s="33" t="n"/>
      <c r="F194" s="5" t="n"/>
      <c r="G194" s="33" t="n"/>
      <c r="H194" s="33" t="n"/>
    </row>
    <row r="195">
      <c r="A195" s="33" t="n"/>
      <c r="B195" s="33" t="n"/>
      <c r="C195" s="33" t="n"/>
      <c r="D195" s="33" t="n"/>
      <c r="E195" s="33" t="n"/>
      <c r="F195" s="5" t="n"/>
      <c r="G195" s="33" t="n"/>
      <c r="H195" s="33" t="n"/>
    </row>
    <row r="196">
      <c r="A196" s="33" t="n"/>
      <c r="B196" s="33" t="n"/>
      <c r="C196" s="33" t="n"/>
      <c r="D196" s="33" t="n"/>
      <c r="E196" s="33" t="n"/>
      <c r="F196" s="5" t="n"/>
      <c r="G196" s="33" t="n"/>
      <c r="H196" s="33" t="n"/>
    </row>
    <row r="197">
      <c r="A197" s="33" t="n"/>
      <c r="B197" s="33" t="n"/>
      <c r="C197" s="33" t="n"/>
      <c r="D197" s="33" t="n"/>
      <c r="E197" s="33" t="n"/>
      <c r="F197" s="5" t="n"/>
      <c r="G197" s="33" t="n"/>
      <c r="H197" s="33" t="n"/>
    </row>
    <row r="198">
      <c r="A198" s="33" t="n"/>
      <c r="B198" s="33" t="n"/>
      <c r="C198" s="33" t="n"/>
      <c r="D198" s="33" t="n"/>
      <c r="E198" s="33" t="n"/>
      <c r="F198" s="5" t="n"/>
      <c r="G198" s="33" t="n"/>
      <c r="H198" s="33" t="n"/>
    </row>
    <row r="199">
      <c r="A199" s="33" t="n"/>
      <c r="B199" s="33" t="n"/>
      <c r="C199" s="33" t="n"/>
      <c r="D199" s="33" t="n"/>
      <c r="E199" s="33" t="n"/>
      <c r="F199" s="5" t="n"/>
      <c r="G199" s="33" t="n"/>
      <c r="H199" s="33" t="n"/>
    </row>
    <row r="200">
      <c r="A200" s="33" t="n"/>
      <c r="B200" s="33" t="n"/>
      <c r="C200" s="33" t="n"/>
      <c r="D200" s="33" t="n"/>
      <c r="E200" s="33" t="n"/>
      <c r="F200" s="5" t="n"/>
      <c r="G200" s="33" t="n"/>
      <c r="H200" s="33" t="n"/>
    </row>
  </sheetData>
  <autoFilter ref="A1:H2000"/>
  <conditionalFormatting sqref="E2:E200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3">
    <dataValidation sqref="C2:C2000" showDropDown="0" showInputMessage="0" showErrorMessage="0" allowBlank="1" errorTitle="Invalid entry" error="Please pick a value from the list." type="list">
      <formula1>"Club Committee,HEPA Officer,Admin"</formula1>
    </dataValidation>
    <dataValidation sqref="E2:E2000" showDropDown="0" showInputMessage="0" showErrorMessage="0" allowBlank="1" errorTitle="Invalid entry" error="Please pick a value from the list." type="list">
      <formula1>"Pass,Fail,Blocked"</formula1>
    </dataValidation>
    <dataValidation sqref="D2:D2000" showDropDown="0" showInputMessage="0" showErrorMessage="0" allowBlank="1" errorTitle="Invalid entry" error="Please pick a value from the list." type="list">
      <formula1>='Test Cases'!$A$2:$A$49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2" customWidth="1" min="4" max="4"/>
    <col width="16" customWidth="1" min="5" max="5"/>
    <col width="40" customWidth="1" min="6" max="6"/>
    <col width="48" customWidth="1" min="7" max="7"/>
    <col width="11" customWidth="1" min="8" max="8"/>
    <col width="15" customWidth="1" min="9" max="9"/>
    <col width="26" customWidth="1" min="10" max="10"/>
    <col width="36" customWidth="1" min="11" max="11"/>
    <col width="13" customWidth="1" min="12" max="12"/>
  </cols>
  <sheetData>
    <row r="1" ht="34" customHeight="1">
      <c r="A1" s="7" t="inlineStr">
        <is>
          <t>Defect ID</t>
        </is>
      </c>
      <c r="B1" s="7" t="inlineStr">
        <is>
          <t>Date reported</t>
        </is>
      </c>
      <c r="C1" s="7" t="inlineStr">
        <is>
          <t>Reported by (Tester ID)</t>
        </is>
      </c>
      <c r="D1" s="7" t="inlineStr">
        <is>
          <t>Related TC ID</t>
        </is>
      </c>
      <c r="E1" s="7" t="inlineStr">
        <is>
          <t>Role</t>
        </is>
      </c>
      <c r="F1" s="7" t="inlineStr">
        <is>
          <t>Summary</t>
        </is>
      </c>
      <c r="G1" s="7" t="inlineStr">
        <is>
          <t>Steps to reproduce</t>
        </is>
      </c>
      <c r="H1" s="7" t="inlineStr">
        <is>
          <t>Severity</t>
        </is>
      </c>
      <c r="I1" s="7" t="inlineStr">
        <is>
          <t>Status</t>
        </is>
      </c>
      <c r="J1" s="7" t="inlineStr">
        <is>
          <t>Screenshot / link</t>
        </is>
      </c>
      <c r="K1" s="7" t="inlineStr">
        <is>
          <t>Fix notes</t>
        </is>
      </c>
      <c r="L1" s="7" t="inlineStr">
        <is>
          <t>Date closed</t>
        </is>
      </c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</sheetData>
  <autoFilter ref="A1:L500"/>
  <conditionalFormatting sqref="H2:H500">
    <cfRule type="cellIs" priority="1" operator="equal" dxfId="1">
      <formula>"Critical"</formula>
    </cfRule>
    <cfRule type="cellIs" priority="2" operator="equal" dxfId="2">
      <formula>"Major"</formula>
    </cfRule>
  </conditionalFormatting>
  <dataValidations count="3">
    <dataValidation sqref="H2:H500" showDropDown="0" showInputMessage="0" showErrorMessage="0" allowBlank="1" type="list">
      <formula1>"Critical,Major,Minor,Cosmetic"</formula1>
    </dataValidation>
    <dataValidation sqref="I2:I500" showDropDown="0" showInputMessage="0" showErrorMessage="0" allowBlank="1" type="list">
      <formula1>"Open,In progress,Fixed - retest,Closed,Won't fix"</formula1>
    </dataValidation>
    <dataValidation sqref="E2:E500" showDropDown="0" showInputMessage="0" showErrorMessage="0" allowBlank="1" type="list">
      <formula1>"Club Committee,HEPA Officer,Admin"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1" customWidth="1" min="2" max="2"/>
    <col width="14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38" customWidth="1" min="17" max="17"/>
    <col width="32" customWidth="1" min="18" max="18"/>
    <col width="12" customWidth="1" min="19" max="19"/>
    <col width="16" customWidth="1" min="20" max="20"/>
    <col width="10" customWidth="1" min="21" max="21"/>
  </cols>
  <sheetData>
    <row r="1" ht="34" customHeight="1">
      <c r="A1" s="7" t="inlineStr">
        <is>
          <t>Timestamp</t>
        </is>
      </c>
      <c r="B1" s="7" t="inlineStr">
        <is>
          <t>Tester ID</t>
        </is>
      </c>
      <c r="C1" s="7" t="inlineStr">
        <is>
          <t>Device</t>
        </is>
      </c>
      <c r="D1" s="7" t="inlineStr">
        <is>
          <t>SUS 1</t>
        </is>
      </c>
      <c r="E1" s="7" t="inlineStr">
        <is>
          <t>SUS 2</t>
        </is>
      </c>
      <c r="F1" s="7" t="inlineStr">
        <is>
          <t>SUS 3</t>
        </is>
      </c>
      <c r="G1" s="7" t="inlineStr">
        <is>
          <t>SUS 4</t>
        </is>
      </c>
      <c r="H1" s="7" t="inlineStr">
        <is>
          <t>SUS 5</t>
        </is>
      </c>
      <c r="I1" s="7" t="inlineStr">
        <is>
          <t>SUS 6</t>
        </is>
      </c>
      <c r="J1" s="7" t="inlineStr">
        <is>
          <t>SUS 7</t>
        </is>
      </c>
      <c r="K1" s="7" t="inlineStr">
        <is>
          <t>SUS 8</t>
        </is>
      </c>
      <c r="L1" s="7" t="inlineStr">
        <is>
          <t>SUS 9</t>
        </is>
      </c>
      <c r="M1" s="7" t="inlineStr">
        <is>
          <t>SUS 10</t>
        </is>
      </c>
      <c r="N1" s="7" t="inlineStr">
        <is>
          <t>UAT 1</t>
        </is>
      </c>
      <c r="O1" s="7" t="inlineStr">
        <is>
          <t>UAT 2</t>
        </is>
      </c>
      <c r="P1" s="7" t="inlineStr">
        <is>
          <t>UAT 3</t>
        </is>
      </c>
      <c r="Q1" s="7" t="inlineStr">
        <is>
          <t>Most confusing / errors seen</t>
        </is>
      </c>
      <c r="R1" s="7" t="inlineStr">
        <is>
          <t>One change</t>
        </is>
      </c>
      <c r="S1" s="7" t="inlineStr">
        <is>
          <t>Recommend</t>
        </is>
      </c>
      <c r="T1" s="7" t="inlineStr">
        <is>
          <t>Role (optional)</t>
        </is>
      </c>
      <c r="U1" s="7" t="inlineStr">
        <is>
          <t>SUS score</t>
        </is>
      </c>
    </row>
    <row r="2">
      <c r="U2" s="34">
        <f>IF(COUNT(D2:M2)=10,((D2-1)+(5-E2)+(F2-1)+(5-G2)+(H2-1)+(5-I2)+(J2-1)+(5-K2)+(L2-1)+(5-M2))*2.5,"")</f>
        <v/>
      </c>
    </row>
    <row r="3">
      <c r="U3" s="34">
        <f>IF(COUNT(D3:M3)=10,((D3-1)+(5-E3)+(F3-1)+(5-G3)+(H3-1)+(5-I3)+(J3-1)+(5-K3)+(L3-1)+(5-M3))*2.5,"")</f>
        <v/>
      </c>
    </row>
    <row r="4">
      <c r="U4" s="34">
        <f>IF(COUNT(D4:M4)=10,((D4-1)+(5-E4)+(F4-1)+(5-G4)+(H4-1)+(5-I4)+(J4-1)+(5-K4)+(L4-1)+(5-M4))*2.5,"")</f>
        <v/>
      </c>
    </row>
    <row r="5">
      <c r="U5" s="34">
        <f>IF(COUNT(D5:M5)=10,((D5-1)+(5-E5)+(F5-1)+(5-G5)+(H5-1)+(5-I5)+(J5-1)+(5-K5)+(L5-1)+(5-M5))*2.5,"")</f>
        <v/>
      </c>
    </row>
    <row r="6">
      <c r="U6" s="34">
        <f>IF(COUNT(D6:M6)=10,((D6-1)+(5-E6)+(F6-1)+(5-G6)+(H6-1)+(5-I6)+(J6-1)+(5-K6)+(L6-1)+(5-M6))*2.5,"")</f>
        <v/>
      </c>
    </row>
    <row r="7">
      <c r="U7" s="34">
        <f>IF(COUNT(D7:M7)=10,((D7-1)+(5-E7)+(F7-1)+(5-G7)+(H7-1)+(5-I7)+(J7-1)+(5-K7)+(L7-1)+(5-M7))*2.5,"")</f>
        <v/>
      </c>
    </row>
    <row r="8">
      <c r="U8" s="34">
        <f>IF(COUNT(D8:M8)=10,((D8-1)+(5-E8)+(F8-1)+(5-G8)+(H8-1)+(5-I8)+(J8-1)+(5-K8)+(L8-1)+(5-M8))*2.5,"")</f>
        <v/>
      </c>
    </row>
    <row r="9">
      <c r="U9" s="34">
        <f>IF(COUNT(D9:M9)=10,((D9-1)+(5-E9)+(F9-1)+(5-G9)+(H9-1)+(5-I9)+(J9-1)+(5-K9)+(L9-1)+(5-M9))*2.5,"")</f>
        <v/>
      </c>
    </row>
    <row r="10">
      <c r="U10" s="34">
        <f>IF(COUNT(D10:M10)=10,((D10-1)+(5-E10)+(F10-1)+(5-G10)+(H10-1)+(5-I10)+(J10-1)+(5-K10)+(L10-1)+(5-M10))*2.5,"")</f>
        <v/>
      </c>
    </row>
    <row r="11">
      <c r="U11" s="34">
        <f>IF(COUNT(D11:M11)=10,((D11-1)+(5-E11)+(F11-1)+(5-G11)+(H11-1)+(5-I11)+(J11-1)+(5-K11)+(L11-1)+(5-M11))*2.5,"")</f>
        <v/>
      </c>
    </row>
    <row r="12">
      <c r="U12" s="34">
        <f>IF(COUNT(D12:M12)=10,((D12-1)+(5-E12)+(F12-1)+(5-G12)+(H12-1)+(5-I12)+(J12-1)+(5-K12)+(L12-1)+(5-M12))*2.5,"")</f>
        <v/>
      </c>
    </row>
    <row r="13">
      <c r="U13" s="34">
        <f>IF(COUNT(D13:M13)=10,((D13-1)+(5-E13)+(F13-1)+(5-G13)+(H13-1)+(5-I13)+(J13-1)+(5-K13)+(L13-1)+(5-M13))*2.5,"")</f>
        <v/>
      </c>
    </row>
    <row r="14">
      <c r="U14" s="34">
        <f>IF(COUNT(D14:M14)=10,((D14-1)+(5-E14)+(F14-1)+(5-G14)+(H14-1)+(5-I14)+(J14-1)+(5-K14)+(L14-1)+(5-M14))*2.5,"")</f>
        <v/>
      </c>
    </row>
    <row r="15">
      <c r="U15" s="34">
        <f>IF(COUNT(D15:M15)=10,((D15-1)+(5-E15)+(F15-1)+(5-G15)+(H15-1)+(5-I15)+(J15-1)+(5-K15)+(L15-1)+(5-M15))*2.5,"")</f>
        <v/>
      </c>
    </row>
    <row r="16">
      <c r="U16" s="34">
        <f>IF(COUNT(D16:M16)=10,((D16-1)+(5-E16)+(F16-1)+(5-G16)+(H16-1)+(5-I16)+(J16-1)+(5-K16)+(L16-1)+(5-M16))*2.5,"")</f>
        <v/>
      </c>
    </row>
    <row r="17">
      <c r="U17" s="34">
        <f>IF(COUNT(D17:M17)=10,((D17-1)+(5-E17)+(F17-1)+(5-G17)+(H17-1)+(5-I17)+(J17-1)+(5-K17)+(L17-1)+(5-M17))*2.5,"")</f>
        <v/>
      </c>
    </row>
    <row r="18">
      <c r="U18" s="34">
        <f>IF(COUNT(D18:M18)=10,((D18-1)+(5-E18)+(F18-1)+(5-G18)+(H18-1)+(5-I18)+(J18-1)+(5-K18)+(L18-1)+(5-M18))*2.5,"")</f>
        <v/>
      </c>
    </row>
    <row r="19">
      <c r="U19" s="34">
        <f>IF(COUNT(D19:M19)=10,((D19-1)+(5-E19)+(F19-1)+(5-G19)+(H19-1)+(5-I19)+(J19-1)+(5-K19)+(L19-1)+(5-M19))*2.5,"")</f>
        <v/>
      </c>
    </row>
    <row r="20">
      <c r="U20" s="34">
        <f>IF(COUNT(D20:M20)=10,((D20-1)+(5-E20)+(F20-1)+(5-G20)+(H20-1)+(5-I20)+(J20-1)+(5-K20)+(L20-1)+(5-M20))*2.5,"")</f>
        <v/>
      </c>
    </row>
    <row r="21">
      <c r="U21" s="34">
        <f>IF(COUNT(D21:M21)=10,((D21-1)+(5-E21)+(F21-1)+(5-G21)+(H21-1)+(5-I21)+(J21-1)+(5-K21)+(L21-1)+(5-M21))*2.5,"")</f>
        <v/>
      </c>
    </row>
    <row r="22">
      <c r="U22" s="34">
        <f>IF(COUNT(D22:M22)=10,((D22-1)+(5-E22)+(F22-1)+(5-G22)+(H22-1)+(5-I22)+(J22-1)+(5-K22)+(L22-1)+(5-M22))*2.5,"")</f>
        <v/>
      </c>
    </row>
    <row r="23">
      <c r="U23" s="34">
        <f>IF(COUNT(D23:M23)=10,((D23-1)+(5-E23)+(F23-1)+(5-G23)+(H23-1)+(5-I23)+(J23-1)+(5-K23)+(L23-1)+(5-M23))*2.5,"")</f>
        <v/>
      </c>
    </row>
    <row r="24">
      <c r="U24" s="34">
        <f>IF(COUNT(D24:M24)=10,((D24-1)+(5-E24)+(F24-1)+(5-G24)+(H24-1)+(5-I24)+(J24-1)+(5-K24)+(L24-1)+(5-M24))*2.5,"")</f>
        <v/>
      </c>
    </row>
    <row r="25">
      <c r="U25" s="34">
        <f>IF(COUNT(D25:M25)=10,((D25-1)+(5-E25)+(F25-1)+(5-G25)+(H25-1)+(5-I25)+(J25-1)+(5-K25)+(L25-1)+(5-M25))*2.5,"")</f>
        <v/>
      </c>
    </row>
    <row r="26">
      <c r="U26" s="34">
        <f>IF(COUNT(D26:M26)=10,((D26-1)+(5-E26)+(F26-1)+(5-G26)+(H26-1)+(5-I26)+(J26-1)+(5-K26)+(L26-1)+(5-M26))*2.5,"")</f>
        <v/>
      </c>
    </row>
    <row r="27">
      <c r="U27" s="34">
        <f>IF(COUNT(D27:M27)=10,((D27-1)+(5-E27)+(F27-1)+(5-G27)+(H27-1)+(5-I27)+(J27-1)+(5-K27)+(L27-1)+(5-M27))*2.5,"")</f>
        <v/>
      </c>
    </row>
    <row r="28">
      <c r="U28" s="34">
        <f>IF(COUNT(D28:M28)=10,((D28-1)+(5-E28)+(F28-1)+(5-G28)+(H28-1)+(5-I28)+(J28-1)+(5-K28)+(L28-1)+(5-M28))*2.5,"")</f>
        <v/>
      </c>
    </row>
    <row r="29">
      <c r="U29" s="34">
        <f>IF(COUNT(D29:M29)=10,((D29-1)+(5-E29)+(F29-1)+(5-G29)+(H29-1)+(5-I29)+(J29-1)+(5-K29)+(L29-1)+(5-M29))*2.5,"")</f>
        <v/>
      </c>
    </row>
    <row r="30">
      <c r="U30" s="34">
        <f>IF(COUNT(D30:M30)=10,((D30-1)+(5-E30)+(F30-1)+(5-G30)+(H30-1)+(5-I30)+(J30-1)+(5-K30)+(L30-1)+(5-M30))*2.5,"")</f>
        <v/>
      </c>
    </row>
    <row r="31">
      <c r="U31" s="34">
        <f>IF(COUNT(D31:M31)=10,((D31-1)+(5-E31)+(F31-1)+(5-G31)+(H31-1)+(5-I31)+(J31-1)+(5-K31)+(L31-1)+(5-M31))*2.5,"")</f>
        <v/>
      </c>
    </row>
    <row r="32">
      <c r="U32" s="34">
        <f>IF(COUNT(D32:M32)=10,((D32-1)+(5-E32)+(F32-1)+(5-G32)+(H32-1)+(5-I32)+(J32-1)+(5-K32)+(L32-1)+(5-M32))*2.5,"")</f>
        <v/>
      </c>
    </row>
    <row r="33">
      <c r="U33" s="34">
        <f>IF(COUNT(D33:M33)=10,((D33-1)+(5-E33)+(F33-1)+(5-G33)+(H33-1)+(5-I33)+(J33-1)+(5-K33)+(L33-1)+(5-M33))*2.5,"")</f>
        <v/>
      </c>
    </row>
    <row r="34">
      <c r="U34" s="34">
        <f>IF(COUNT(D34:M34)=10,((D34-1)+(5-E34)+(F34-1)+(5-G34)+(H34-1)+(5-I34)+(J34-1)+(5-K34)+(L34-1)+(5-M34))*2.5,"")</f>
        <v/>
      </c>
    </row>
    <row r="35">
      <c r="U35" s="34">
        <f>IF(COUNT(D35:M35)=10,((D35-1)+(5-E35)+(F35-1)+(5-G35)+(H35-1)+(5-I35)+(J35-1)+(5-K35)+(L35-1)+(5-M35))*2.5,"")</f>
        <v/>
      </c>
    </row>
    <row r="36">
      <c r="U36" s="34">
        <f>IF(COUNT(D36:M36)=10,((D36-1)+(5-E36)+(F36-1)+(5-G36)+(H36-1)+(5-I36)+(J36-1)+(5-K36)+(L36-1)+(5-M36))*2.5,"")</f>
        <v/>
      </c>
    </row>
    <row r="37">
      <c r="U37" s="34">
        <f>IF(COUNT(D37:M37)=10,((D37-1)+(5-E37)+(F37-1)+(5-G37)+(H37-1)+(5-I37)+(J37-1)+(5-K37)+(L37-1)+(5-M37))*2.5,"")</f>
        <v/>
      </c>
    </row>
    <row r="38">
      <c r="U38" s="34">
        <f>IF(COUNT(D38:M38)=10,((D38-1)+(5-E38)+(F38-1)+(5-G38)+(H38-1)+(5-I38)+(J38-1)+(5-K38)+(L38-1)+(5-M38))*2.5,"")</f>
        <v/>
      </c>
    </row>
    <row r="39">
      <c r="U39" s="34">
        <f>IF(COUNT(D39:M39)=10,((D39-1)+(5-E39)+(F39-1)+(5-G39)+(H39-1)+(5-I39)+(J39-1)+(5-K39)+(L39-1)+(5-M39))*2.5,"")</f>
        <v/>
      </c>
    </row>
    <row r="40">
      <c r="U40" s="34">
        <f>IF(COUNT(D40:M40)=10,((D40-1)+(5-E40)+(F40-1)+(5-G40)+(H40-1)+(5-I40)+(J40-1)+(5-K40)+(L40-1)+(5-M40))*2.5,"")</f>
        <v/>
      </c>
    </row>
    <row r="41">
      <c r="U41" s="34">
        <f>IF(COUNT(D41:M41)=10,((D41-1)+(5-E41)+(F41-1)+(5-G41)+(H41-1)+(5-I41)+(J41-1)+(5-K41)+(L41-1)+(5-M41))*2.5,"")</f>
        <v/>
      </c>
    </row>
    <row r="42">
      <c r="U42" s="34">
        <f>IF(COUNT(D42:M42)=10,((D42-1)+(5-E42)+(F42-1)+(5-G42)+(H42-1)+(5-I42)+(J42-1)+(5-K42)+(L42-1)+(5-M42))*2.5,"")</f>
        <v/>
      </c>
    </row>
    <row r="43">
      <c r="U43" s="34">
        <f>IF(COUNT(D43:M43)=10,((D43-1)+(5-E43)+(F43-1)+(5-G43)+(H43-1)+(5-I43)+(J43-1)+(5-K43)+(L43-1)+(5-M43))*2.5,"")</f>
        <v/>
      </c>
    </row>
    <row r="44">
      <c r="U44" s="34">
        <f>IF(COUNT(D44:M44)=10,((D44-1)+(5-E44)+(F44-1)+(5-G44)+(H44-1)+(5-I44)+(J44-1)+(5-K44)+(L44-1)+(5-M44))*2.5,"")</f>
        <v/>
      </c>
    </row>
    <row r="45">
      <c r="U45" s="34">
        <f>IF(COUNT(D45:M45)=10,((D45-1)+(5-E45)+(F45-1)+(5-G45)+(H45-1)+(5-I45)+(J45-1)+(5-K45)+(L45-1)+(5-M45))*2.5,"")</f>
        <v/>
      </c>
    </row>
    <row r="46">
      <c r="U46" s="34">
        <f>IF(COUNT(D46:M46)=10,((D46-1)+(5-E46)+(F46-1)+(5-G46)+(H46-1)+(5-I46)+(J46-1)+(5-K46)+(L46-1)+(5-M46))*2.5,"")</f>
        <v/>
      </c>
    </row>
    <row r="47">
      <c r="U47" s="34">
        <f>IF(COUNT(D47:M47)=10,((D47-1)+(5-E47)+(F47-1)+(5-G47)+(H47-1)+(5-I47)+(J47-1)+(5-K47)+(L47-1)+(5-M47))*2.5,"")</f>
        <v/>
      </c>
    </row>
    <row r="48">
      <c r="U48" s="34">
        <f>IF(COUNT(D48:M48)=10,((D48-1)+(5-E48)+(F48-1)+(5-G48)+(H48-1)+(5-I48)+(J48-1)+(5-K48)+(L48-1)+(5-M48))*2.5,"")</f>
        <v/>
      </c>
    </row>
    <row r="49">
      <c r="U49" s="34">
        <f>IF(COUNT(D49:M49)=10,((D49-1)+(5-E49)+(F49-1)+(5-G49)+(H49-1)+(5-I49)+(J49-1)+(5-K49)+(L49-1)+(5-M49))*2.5,"")</f>
        <v/>
      </c>
    </row>
    <row r="50">
      <c r="U50" s="34">
        <f>IF(COUNT(D50:M50)=10,((D50-1)+(5-E50)+(F50-1)+(5-G50)+(H50-1)+(5-I50)+(J50-1)+(5-K50)+(L50-1)+(5-M50))*2.5,"")</f>
        <v/>
      </c>
    </row>
    <row r="51">
      <c r="U51" s="34">
        <f>IF(COUNT(D51:M51)=10,((D51-1)+(5-E51)+(F51-1)+(5-G51)+(H51-1)+(5-I51)+(J51-1)+(5-K51)+(L51-1)+(5-M51))*2.5,"")</f>
        <v/>
      </c>
    </row>
    <row r="52">
      <c r="U52" s="34">
        <f>IF(COUNT(D52:M52)=10,((D52-1)+(5-E52)+(F52-1)+(5-G52)+(H52-1)+(5-I52)+(J52-1)+(5-K52)+(L52-1)+(5-M52))*2.5,"")</f>
        <v/>
      </c>
    </row>
    <row r="53">
      <c r="U53" s="34">
        <f>IF(COUNT(D53:M53)=10,((D53-1)+(5-E53)+(F53-1)+(5-G53)+(H53-1)+(5-I53)+(J53-1)+(5-K53)+(L53-1)+(5-M53))*2.5,"")</f>
        <v/>
      </c>
    </row>
    <row r="54">
      <c r="U54" s="34">
        <f>IF(COUNT(D54:M54)=10,((D54-1)+(5-E54)+(F54-1)+(5-G54)+(H54-1)+(5-I54)+(J54-1)+(5-K54)+(L54-1)+(5-M54))*2.5,"")</f>
        <v/>
      </c>
    </row>
    <row r="55">
      <c r="U55" s="34">
        <f>IF(COUNT(D55:M55)=10,((D55-1)+(5-E55)+(F55-1)+(5-G55)+(H55-1)+(5-I55)+(J55-1)+(5-K55)+(L55-1)+(5-M55))*2.5,"")</f>
        <v/>
      </c>
    </row>
    <row r="56">
      <c r="U56" s="34">
        <f>IF(COUNT(D56:M56)=10,((D56-1)+(5-E56)+(F56-1)+(5-G56)+(H56-1)+(5-I56)+(J56-1)+(5-K56)+(L56-1)+(5-M56))*2.5,"")</f>
        <v/>
      </c>
    </row>
    <row r="57">
      <c r="U57" s="34">
        <f>IF(COUNT(D57:M57)=10,((D57-1)+(5-E57)+(F57-1)+(5-G57)+(H57-1)+(5-I57)+(J57-1)+(5-K57)+(L57-1)+(5-M57))*2.5,"")</f>
        <v/>
      </c>
    </row>
    <row r="58">
      <c r="U58" s="34">
        <f>IF(COUNT(D58:M58)=10,((D58-1)+(5-E58)+(F58-1)+(5-G58)+(H58-1)+(5-I58)+(J58-1)+(5-K58)+(L58-1)+(5-M58))*2.5,"")</f>
        <v/>
      </c>
    </row>
    <row r="59">
      <c r="U59" s="34">
        <f>IF(COUNT(D59:M59)=10,((D59-1)+(5-E59)+(F59-1)+(5-G59)+(H59-1)+(5-I59)+(J59-1)+(5-K59)+(L59-1)+(5-M59))*2.5,"")</f>
        <v/>
      </c>
    </row>
    <row r="60">
      <c r="U60" s="34">
        <f>IF(COUNT(D60:M60)=10,((D60-1)+(5-E60)+(F60-1)+(5-G60)+(H60-1)+(5-I60)+(J60-1)+(5-K60)+(L60-1)+(5-M60))*2.5,"")</f>
        <v/>
      </c>
    </row>
    <row r="61">
      <c r="U61" s="34">
        <f>IF(COUNT(D61:M61)=10,((D61-1)+(5-E61)+(F61-1)+(5-G61)+(H61-1)+(5-I61)+(J61-1)+(5-K61)+(L61-1)+(5-M61))*2.5,"")</f>
        <v/>
      </c>
    </row>
    <row r="62">
      <c r="U62" s="34">
        <f>IF(COUNT(D62:M62)=10,((D62-1)+(5-E62)+(F62-1)+(5-G62)+(H62-1)+(5-I62)+(J62-1)+(5-K62)+(L62-1)+(5-M62))*2.5,"")</f>
        <v/>
      </c>
    </row>
    <row r="63">
      <c r="U63" s="34">
        <f>IF(COUNT(D63:M63)=10,((D63-1)+(5-E63)+(F63-1)+(5-G63)+(H63-1)+(5-I63)+(J63-1)+(5-K63)+(L63-1)+(5-M63))*2.5,"")</f>
        <v/>
      </c>
    </row>
    <row r="64">
      <c r="U64" s="34">
        <f>IF(COUNT(D64:M64)=10,((D64-1)+(5-E64)+(F64-1)+(5-G64)+(H64-1)+(5-I64)+(J64-1)+(5-K64)+(L64-1)+(5-M64))*2.5,"")</f>
        <v/>
      </c>
    </row>
    <row r="65">
      <c r="U65" s="34">
        <f>IF(COUNT(D65:M65)=10,((D65-1)+(5-E65)+(F65-1)+(5-G65)+(H65-1)+(5-I65)+(J65-1)+(5-K65)+(L65-1)+(5-M65))*2.5,"")</f>
        <v/>
      </c>
    </row>
    <row r="66">
      <c r="U66" s="34">
        <f>IF(COUNT(D66:M66)=10,((D66-1)+(5-E66)+(F66-1)+(5-G66)+(H66-1)+(5-I66)+(J66-1)+(5-K66)+(L66-1)+(5-M66))*2.5,"")</f>
        <v/>
      </c>
    </row>
    <row r="67">
      <c r="U67" s="34">
        <f>IF(COUNT(D67:M67)=10,((D67-1)+(5-E67)+(F67-1)+(5-G67)+(H67-1)+(5-I67)+(J67-1)+(5-K67)+(L67-1)+(5-M67))*2.5,"")</f>
        <v/>
      </c>
    </row>
    <row r="68">
      <c r="U68" s="34">
        <f>IF(COUNT(D68:M68)=10,((D68-1)+(5-E68)+(F68-1)+(5-G68)+(H68-1)+(5-I68)+(J68-1)+(5-K68)+(L68-1)+(5-M68))*2.5,"")</f>
        <v/>
      </c>
    </row>
    <row r="69">
      <c r="U69" s="34">
        <f>IF(COUNT(D69:M69)=10,((D69-1)+(5-E69)+(F69-1)+(5-G69)+(H69-1)+(5-I69)+(J69-1)+(5-K69)+(L69-1)+(5-M69))*2.5,"")</f>
        <v/>
      </c>
    </row>
    <row r="70">
      <c r="U70" s="34">
        <f>IF(COUNT(D70:M70)=10,((D70-1)+(5-E70)+(F70-1)+(5-G70)+(H70-1)+(5-I70)+(J70-1)+(5-K70)+(L70-1)+(5-M70))*2.5,"")</f>
        <v/>
      </c>
    </row>
    <row r="71">
      <c r="U71" s="34">
        <f>IF(COUNT(D71:M71)=10,((D71-1)+(5-E71)+(F71-1)+(5-G71)+(H71-1)+(5-I71)+(J71-1)+(5-K71)+(L71-1)+(5-M71))*2.5,"")</f>
        <v/>
      </c>
    </row>
    <row r="72">
      <c r="U72" s="34">
        <f>IF(COUNT(D72:M72)=10,((D72-1)+(5-E72)+(F72-1)+(5-G72)+(H72-1)+(5-I72)+(J72-1)+(5-K72)+(L72-1)+(5-M72))*2.5,"")</f>
        <v/>
      </c>
    </row>
    <row r="73">
      <c r="U73" s="34">
        <f>IF(COUNT(D73:M73)=10,((D73-1)+(5-E73)+(F73-1)+(5-G73)+(H73-1)+(5-I73)+(J73-1)+(5-K73)+(L73-1)+(5-M73))*2.5,"")</f>
        <v/>
      </c>
    </row>
    <row r="74">
      <c r="U74" s="34">
        <f>IF(COUNT(D74:M74)=10,((D74-1)+(5-E74)+(F74-1)+(5-G74)+(H74-1)+(5-I74)+(J74-1)+(5-K74)+(L74-1)+(5-M74))*2.5,"")</f>
        <v/>
      </c>
    </row>
    <row r="75">
      <c r="U75" s="34">
        <f>IF(COUNT(D75:M75)=10,((D75-1)+(5-E75)+(F75-1)+(5-G75)+(H75-1)+(5-I75)+(J75-1)+(5-K75)+(L75-1)+(5-M75))*2.5,"")</f>
        <v/>
      </c>
    </row>
    <row r="76">
      <c r="U76" s="34">
        <f>IF(COUNT(D76:M76)=10,((D76-1)+(5-E76)+(F76-1)+(5-G76)+(H76-1)+(5-I76)+(J76-1)+(5-K76)+(L76-1)+(5-M76))*2.5,"")</f>
        <v/>
      </c>
    </row>
    <row r="77">
      <c r="U77" s="34">
        <f>IF(COUNT(D77:M77)=10,((D77-1)+(5-E77)+(F77-1)+(5-G77)+(H77-1)+(5-I77)+(J77-1)+(5-K77)+(L77-1)+(5-M77))*2.5,"")</f>
        <v/>
      </c>
    </row>
    <row r="78">
      <c r="U78" s="34">
        <f>IF(COUNT(D78:M78)=10,((D78-1)+(5-E78)+(F78-1)+(5-G78)+(H78-1)+(5-I78)+(J78-1)+(5-K78)+(L78-1)+(5-M78))*2.5,"")</f>
        <v/>
      </c>
    </row>
    <row r="79">
      <c r="U79" s="34">
        <f>IF(COUNT(D79:M79)=10,((D79-1)+(5-E79)+(F79-1)+(5-G79)+(H79-1)+(5-I79)+(J79-1)+(5-K79)+(L79-1)+(5-M79))*2.5,"")</f>
        <v/>
      </c>
    </row>
    <row r="80">
      <c r="U80" s="34">
        <f>IF(COUNT(D80:M80)=10,((D80-1)+(5-E80)+(F80-1)+(5-G80)+(H80-1)+(5-I80)+(J80-1)+(5-K80)+(L80-1)+(5-M80))*2.5,"")</f>
        <v/>
      </c>
    </row>
    <row r="81">
      <c r="U81" s="34">
        <f>IF(COUNT(D81:M81)=10,((D81-1)+(5-E81)+(F81-1)+(5-G81)+(H81-1)+(5-I81)+(J81-1)+(5-K81)+(L81-1)+(5-M81))*2.5,"")</f>
        <v/>
      </c>
    </row>
    <row r="82">
      <c r="U82" s="34">
        <f>IF(COUNT(D82:M82)=10,((D82-1)+(5-E82)+(F82-1)+(5-G82)+(H82-1)+(5-I82)+(J82-1)+(5-K82)+(L82-1)+(5-M82))*2.5,"")</f>
        <v/>
      </c>
    </row>
    <row r="83">
      <c r="U83" s="34">
        <f>IF(COUNT(D83:M83)=10,((D83-1)+(5-E83)+(F83-1)+(5-G83)+(H83-1)+(5-I83)+(J83-1)+(5-K83)+(L83-1)+(5-M83))*2.5,"")</f>
        <v/>
      </c>
    </row>
    <row r="84">
      <c r="U84" s="34">
        <f>IF(COUNT(D84:M84)=10,((D84-1)+(5-E84)+(F84-1)+(5-G84)+(H84-1)+(5-I84)+(J84-1)+(5-K84)+(L84-1)+(5-M84))*2.5,"")</f>
        <v/>
      </c>
    </row>
    <row r="85">
      <c r="U85" s="34">
        <f>IF(COUNT(D85:M85)=10,((D85-1)+(5-E85)+(F85-1)+(5-G85)+(H85-1)+(5-I85)+(J85-1)+(5-K85)+(L85-1)+(5-M85))*2.5,"")</f>
        <v/>
      </c>
    </row>
    <row r="86">
      <c r="U86" s="34">
        <f>IF(COUNT(D86:M86)=10,((D86-1)+(5-E86)+(F86-1)+(5-G86)+(H86-1)+(5-I86)+(J86-1)+(5-K86)+(L86-1)+(5-M86))*2.5,"")</f>
        <v/>
      </c>
    </row>
    <row r="87">
      <c r="U87" s="34">
        <f>IF(COUNT(D87:M87)=10,((D87-1)+(5-E87)+(F87-1)+(5-G87)+(H87-1)+(5-I87)+(J87-1)+(5-K87)+(L87-1)+(5-M87))*2.5,"")</f>
        <v/>
      </c>
    </row>
    <row r="88">
      <c r="U88" s="34">
        <f>IF(COUNT(D88:M88)=10,((D88-1)+(5-E88)+(F88-1)+(5-G88)+(H88-1)+(5-I88)+(J88-1)+(5-K88)+(L88-1)+(5-M88))*2.5,"")</f>
        <v/>
      </c>
    </row>
    <row r="89">
      <c r="U89" s="34">
        <f>IF(COUNT(D89:M89)=10,((D89-1)+(5-E89)+(F89-1)+(5-G89)+(H89-1)+(5-I89)+(J89-1)+(5-K89)+(L89-1)+(5-M89))*2.5,"")</f>
        <v/>
      </c>
    </row>
    <row r="90">
      <c r="U90" s="34">
        <f>IF(COUNT(D90:M90)=10,((D90-1)+(5-E90)+(F90-1)+(5-G90)+(H90-1)+(5-I90)+(J90-1)+(5-K90)+(L90-1)+(5-M90))*2.5,"")</f>
        <v/>
      </c>
    </row>
    <row r="91">
      <c r="U91" s="34">
        <f>IF(COUNT(D91:M91)=10,((D91-1)+(5-E91)+(F91-1)+(5-G91)+(H91-1)+(5-I91)+(J91-1)+(5-K91)+(L91-1)+(5-M91))*2.5,"")</f>
        <v/>
      </c>
    </row>
    <row r="92">
      <c r="U92" s="34">
        <f>IF(COUNT(D92:M92)=10,((D92-1)+(5-E92)+(F92-1)+(5-G92)+(H92-1)+(5-I92)+(J92-1)+(5-K92)+(L92-1)+(5-M92))*2.5,"")</f>
        <v/>
      </c>
    </row>
    <row r="93">
      <c r="U93" s="34">
        <f>IF(COUNT(D93:M93)=10,((D93-1)+(5-E93)+(F93-1)+(5-G93)+(H93-1)+(5-I93)+(J93-1)+(5-K93)+(L93-1)+(5-M93))*2.5,"")</f>
        <v/>
      </c>
    </row>
    <row r="94">
      <c r="U94" s="34">
        <f>IF(COUNT(D94:M94)=10,((D94-1)+(5-E94)+(F94-1)+(5-G94)+(H94-1)+(5-I94)+(J94-1)+(5-K94)+(L94-1)+(5-M94))*2.5,"")</f>
        <v/>
      </c>
    </row>
    <row r="95">
      <c r="U95" s="34">
        <f>IF(COUNT(D95:M95)=10,((D95-1)+(5-E95)+(F95-1)+(5-G95)+(H95-1)+(5-I95)+(J95-1)+(5-K95)+(L95-1)+(5-M95))*2.5,"")</f>
        <v/>
      </c>
    </row>
    <row r="96">
      <c r="U96" s="34">
        <f>IF(COUNT(D96:M96)=10,((D96-1)+(5-E96)+(F96-1)+(5-G96)+(H96-1)+(5-I96)+(J96-1)+(5-K96)+(L96-1)+(5-M96))*2.5,"")</f>
        <v/>
      </c>
    </row>
    <row r="97">
      <c r="U97" s="34">
        <f>IF(COUNT(D97:M97)=10,((D97-1)+(5-E97)+(F97-1)+(5-G97)+(H97-1)+(5-I97)+(J97-1)+(5-K97)+(L97-1)+(5-M97))*2.5,"")</f>
        <v/>
      </c>
    </row>
    <row r="98">
      <c r="U98" s="34">
        <f>IF(COUNT(D98:M98)=10,((D98-1)+(5-E98)+(F98-1)+(5-G98)+(H98-1)+(5-I98)+(J98-1)+(5-K98)+(L98-1)+(5-M98))*2.5,"")</f>
        <v/>
      </c>
    </row>
    <row r="99">
      <c r="U99" s="34">
        <f>IF(COUNT(D99:M99)=10,((D99-1)+(5-E99)+(F99-1)+(5-G99)+(H99-1)+(5-I99)+(J99-1)+(5-K99)+(L99-1)+(5-M99))*2.5,"")</f>
        <v/>
      </c>
    </row>
    <row r="100">
      <c r="U100" s="34">
        <f>IF(COUNT(D100:M100)=10,((D100-1)+(5-E100)+(F100-1)+(5-G100)+(H100-1)+(5-I100)+(J100-1)+(5-K100)+(L100-1)+(5-M100))*2.5,"")</f>
        <v/>
      </c>
    </row>
    <row r="101">
      <c r="U101" s="34">
        <f>IF(COUNT(D101:M101)=10,((D101-1)+(5-E101)+(F101-1)+(5-G101)+(H101-1)+(5-I101)+(J101-1)+(5-K101)+(L101-1)+(5-M101))*2.5,"")</f>
        <v/>
      </c>
    </row>
    <row r="102">
      <c r="U102" s="34">
        <f>IF(COUNT(D102:M102)=10,((D102-1)+(5-E102)+(F102-1)+(5-G102)+(H102-1)+(5-I102)+(J102-1)+(5-K102)+(L102-1)+(5-M102))*2.5,"")</f>
        <v/>
      </c>
    </row>
    <row r="103">
      <c r="U103" s="34">
        <f>IF(COUNT(D103:M103)=10,((D103-1)+(5-E103)+(F103-1)+(5-G103)+(H103-1)+(5-I103)+(J103-1)+(5-K103)+(L103-1)+(5-M103))*2.5,"")</f>
        <v/>
      </c>
    </row>
    <row r="104">
      <c r="U104" s="34">
        <f>IF(COUNT(D104:M104)=10,((D104-1)+(5-E104)+(F104-1)+(5-G104)+(H104-1)+(5-I104)+(J104-1)+(5-K104)+(L104-1)+(5-M104))*2.5,"")</f>
        <v/>
      </c>
    </row>
    <row r="105">
      <c r="U105" s="34">
        <f>IF(COUNT(D105:M105)=10,((D105-1)+(5-E105)+(F105-1)+(5-G105)+(H105-1)+(5-I105)+(J105-1)+(5-K105)+(L105-1)+(5-M105))*2.5,"")</f>
        <v/>
      </c>
    </row>
    <row r="106">
      <c r="U106" s="34">
        <f>IF(COUNT(D106:M106)=10,((D106-1)+(5-E106)+(F106-1)+(5-G106)+(H106-1)+(5-I106)+(J106-1)+(5-K106)+(L106-1)+(5-M106))*2.5,"")</f>
        <v/>
      </c>
    </row>
    <row r="107">
      <c r="U107" s="34">
        <f>IF(COUNT(D107:M107)=10,((D107-1)+(5-E107)+(F107-1)+(5-G107)+(H107-1)+(5-I107)+(J107-1)+(5-K107)+(L107-1)+(5-M107))*2.5,"")</f>
        <v/>
      </c>
    </row>
    <row r="108">
      <c r="U108" s="34">
        <f>IF(COUNT(D108:M108)=10,((D108-1)+(5-E108)+(F108-1)+(5-G108)+(H108-1)+(5-I108)+(J108-1)+(5-K108)+(L108-1)+(5-M108))*2.5,"")</f>
        <v/>
      </c>
    </row>
    <row r="109">
      <c r="U109" s="34">
        <f>IF(COUNT(D109:M109)=10,((D109-1)+(5-E109)+(F109-1)+(5-G109)+(H109-1)+(5-I109)+(J109-1)+(5-K109)+(L109-1)+(5-M109))*2.5,"")</f>
        <v/>
      </c>
    </row>
    <row r="110">
      <c r="U110" s="34">
        <f>IF(COUNT(D110:M110)=10,((D110-1)+(5-E110)+(F110-1)+(5-G110)+(H110-1)+(5-I110)+(J110-1)+(5-K110)+(L110-1)+(5-M110))*2.5,"")</f>
        <v/>
      </c>
    </row>
    <row r="111">
      <c r="U111" s="34">
        <f>IF(COUNT(D111:M111)=10,((D111-1)+(5-E111)+(F111-1)+(5-G111)+(H111-1)+(5-I111)+(J111-1)+(5-K111)+(L111-1)+(5-M111))*2.5,"")</f>
        <v/>
      </c>
    </row>
    <row r="112">
      <c r="U112" s="34">
        <f>IF(COUNT(D112:M112)=10,((D112-1)+(5-E112)+(F112-1)+(5-G112)+(H112-1)+(5-I112)+(J112-1)+(5-K112)+(L112-1)+(5-M112))*2.5,"")</f>
        <v/>
      </c>
    </row>
    <row r="113">
      <c r="U113" s="34">
        <f>IF(COUNT(D113:M113)=10,((D113-1)+(5-E113)+(F113-1)+(5-G113)+(H113-1)+(5-I113)+(J113-1)+(5-K113)+(L113-1)+(5-M113))*2.5,"")</f>
        <v/>
      </c>
    </row>
    <row r="114">
      <c r="U114" s="34">
        <f>IF(COUNT(D114:M114)=10,((D114-1)+(5-E114)+(F114-1)+(5-G114)+(H114-1)+(5-I114)+(J114-1)+(5-K114)+(L114-1)+(5-M114))*2.5,"")</f>
        <v/>
      </c>
    </row>
    <row r="115">
      <c r="U115" s="34">
        <f>IF(COUNT(D115:M115)=10,((D115-1)+(5-E115)+(F115-1)+(5-G115)+(H115-1)+(5-I115)+(J115-1)+(5-K115)+(L115-1)+(5-M115))*2.5,"")</f>
        <v/>
      </c>
    </row>
    <row r="116">
      <c r="U116" s="34">
        <f>IF(COUNT(D116:M116)=10,((D116-1)+(5-E116)+(F116-1)+(5-G116)+(H116-1)+(5-I116)+(J116-1)+(5-K116)+(L116-1)+(5-M116))*2.5,"")</f>
        <v/>
      </c>
    </row>
    <row r="117">
      <c r="U117" s="34">
        <f>IF(COUNT(D117:M117)=10,((D117-1)+(5-E117)+(F117-1)+(5-G117)+(H117-1)+(5-I117)+(J117-1)+(5-K117)+(L117-1)+(5-M117))*2.5,"")</f>
        <v/>
      </c>
    </row>
    <row r="118">
      <c r="U118" s="34">
        <f>IF(COUNT(D118:M118)=10,((D118-1)+(5-E118)+(F118-1)+(5-G118)+(H118-1)+(5-I118)+(J118-1)+(5-K118)+(L118-1)+(5-M118))*2.5,"")</f>
        <v/>
      </c>
    </row>
    <row r="119">
      <c r="U119" s="34">
        <f>IF(COUNT(D119:M119)=10,((D119-1)+(5-E119)+(F119-1)+(5-G119)+(H119-1)+(5-I119)+(J119-1)+(5-K119)+(L119-1)+(5-M119))*2.5,"")</f>
        <v/>
      </c>
    </row>
    <row r="120">
      <c r="U120" s="34">
        <f>IF(COUNT(D120:M120)=10,((D120-1)+(5-E120)+(F120-1)+(5-G120)+(H120-1)+(5-I120)+(J120-1)+(5-K120)+(L120-1)+(5-M120))*2.5,"")</f>
        <v/>
      </c>
    </row>
    <row r="121">
      <c r="U121" s="34">
        <f>IF(COUNT(D121:M121)=10,((D121-1)+(5-E121)+(F121-1)+(5-G121)+(H121-1)+(5-I121)+(J121-1)+(5-K121)+(L121-1)+(5-M121))*2.5,"")</f>
        <v/>
      </c>
    </row>
    <row r="122">
      <c r="U122" s="34">
        <f>IF(COUNT(D122:M122)=10,((D122-1)+(5-E122)+(F122-1)+(5-G122)+(H122-1)+(5-I122)+(J122-1)+(5-K122)+(L122-1)+(5-M122))*2.5,"")</f>
        <v/>
      </c>
    </row>
    <row r="123">
      <c r="U123" s="34">
        <f>IF(COUNT(D123:M123)=10,((D123-1)+(5-E123)+(F123-1)+(5-G123)+(H123-1)+(5-I123)+(J123-1)+(5-K123)+(L123-1)+(5-M123))*2.5,"")</f>
        <v/>
      </c>
    </row>
    <row r="124">
      <c r="U124" s="34">
        <f>IF(COUNT(D124:M124)=10,((D124-1)+(5-E124)+(F124-1)+(5-G124)+(H124-1)+(5-I124)+(J124-1)+(5-K124)+(L124-1)+(5-M124))*2.5,"")</f>
        <v/>
      </c>
    </row>
    <row r="125">
      <c r="U125" s="34">
        <f>IF(COUNT(D125:M125)=10,((D125-1)+(5-E125)+(F125-1)+(5-G125)+(H125-1)+(5-I125)+(J125-1)+(5-K125)+(L125-1)+(5-M125))*2.5,"")</f>
        <v/>
      </c>
    </row>
    <row r="126">
      <c r="U126" s="34">
        <f>IF(COUNT(D126:M126)=10,((D126-1)+(5-E126)+(F126-1)+(5-G126)+(H126-1)+(5-I126)+(J126-1)+(5-K126)+(L126-1)+(5-M126))*2.5,"")</f>
        <v/>
      </c>
    </row>
    <row r="127">
      <c r="U127" s="34">
        <f>IF(COUNT(D127:M127)=10,((D127-1)+(5-E127)+(F127-1)+(5-G127)+(H127-1)+(5-I127)+(J127-1)+(5-K127)+(L127-1)+(5-M127))*2.5,"")</f>
        <v/>
      </c>
    </row>
    <row r="128">
      <c r="U128" s="34">
        <f>IF(COUNT(D128:M128)=10,((D128-1)+(5-E128)+(F128-1)+(5-G128)+(H128-1)+(5-I128)+(J128-1)+(5-K128)+(L128-1)+(5-M128))*2.5,"")</f>
        <v/>
      </c>
    </row>
    <row r="129">
      <c r="U129" s="34">
        <f>IF(COUNT(D129:M129)=10,((D129-1)+(5-E129)+(F129-1)+(5-G129)+(H129-1)+(5-I129)+(J129-1)+(5-K129)+(L129-1)+(5-M129))*2.5,"")</f>
        <v/>
      </c>
    </row>
    <row r="130">
      <c r="U130" s="34">
        <f>IF(COUNT(D130:M130)=10,((D130-1)+(5-E130)+(F130-1)+(5-G130)+(H130-1)+(5-I130)+(J130-1)+(5-K130)+(L130-1)+(5-M130))*2.5,"")</f>
        <v/>
      </c>
    </row>
    <row r="131">
      <c r="U131" s="34">
        <f>IF(COUNT(D131:M131)=10,((D131-1)+(5-E131)+(F131-1)+(5-G131)+(H131-1)+(5-I131)+(J131-1)+(5-K131)+(L131-1)+(5-M131))*2.5,"")</f>
        <v/>
      </c>
    </row>
    <row r="132">
      <c r="U132" s="34">
        <f>IF(COUNT(D132:M132)=10,((D132-1)+(5-E132)+(F132-1)+(5-G132)+(H132-1)+(5-I132)+(J132-1)+(5-K132)+(L132-1)+(5-M132))*2.5,"")</f>
        <v/>
      </c>
    </row>
    <row r="133">
      <c r="U133" s="34">
        <f>IF(COUNT(D133:M133)=10,((D133-1)+(5-E133)+(F133-1)+(5-G133)+(H133-1)+(5-I133)+(J133-1)+(5-K133)+(L133-1)+(5-M133))*2.5,"")</f>
        <v/>
      </c>
    </row>
    <row r="134">
      <c r="U134" s="34">
        <f>IF(COUNT(D134:M134)=10,((D134-1)+(5-E134)+(F134-1)+(5-G134)+(H134-1)+(5-I134)+(J134-1)+(5-K134)+(L134-1)+(5-M134))*2.5,"")</f>
        <v/>
      </c>
    </row>
    <row r="135">
      <c r="U135" s="34">
        <f>IF(COUNT(D135:M135)=10,((D135-1)+(5-E135)+(F135-1)+(5-G135)+(H135-1)+(5-I135)+(J135-1)+(5-K135)+(L135-1)+(5-M135))*2.5,"")</f>
        <v/>
      </c>
    </row>
    <row r="136">
      <c r="U136" s="34">
        <f>IF(COUNT(D136:M136)=10,((D136-1)+(5-E136)+(F136-1)+(5-G136)+(H136-1)+(5-I136)+(J136-1)+(5-K136)+(L136-1)+(5-M136))*2.5,"")</f>
        <v/>
      </c>
    </row>
    <row r="137">
      <c r="U137" s="34">
        <f>IF(COUNT(D137:M137)=10,((D137-1)+(5-E137)+(F137-1)+(5-G137)+(H137-1)+(5-I137)+(J137-1)+(5-K137)+(L137-1)+(5-M137))*2.5,"")</f>
        <v/>
      </c>
    </row>
    <row r="138">
      <c r="U138" s="34">
        <f>IF(COUNT(D138:M138)=10,((D138-1)+(5-E138)+(F138-1)+(5-G138)+(H138-1)+(5-I138)+(J138-1)+(5-K138)+(L138-1)+(5-M138))*2.5,"")</f>
        <v/>
      </c>
    </row>
    <row r="139">
      <c r="U139" s="34">
        <f>IF(COUNT(D139:M139)=10,((D139-1)+(5-E139)+(F139-1)+(5-G139)+(H139-1)+(5-I139)+(J139-1)+(5-K139)+(L139-1)+(5-M139))*2.5,"")</f>
        <v/>
      </c>
    </row>
    <row r="140">
      <c r="U140" s="34">
        <f>IF(COUNT(D140:M140)=10,((D140-1)+(5-E140)+(F140-1)+(5-G140)+(H140-1)+(5-I140)+(J140-1)+(5-K140)+(L140-1)+(5-M140))*2.5,"")</f>
        <v/>
      </c>
    </row>
    <row r="141">
      <c r="U141" s="34">
        <f>IF(COUNT(D141:M141)=10,((D141-1)+(5-E141)+(F141-1)+(5-G141)+(H141-1)+(5-I141)+(J141-1)+(5-K141)+(L141-1)+(5-M141))*2.5,"")</f>
        <v/>
      </c>
    </row>
    <row r="142">
      <c r="U142" s="34">
        <f>IF(COUNT(D142:M142)=10,((D142-1)+(5-E142)+(F142-1)+(5-G142)+(H142-1)+(5-I142)+(J142-1)+(5-K142)+(L142-1)+(5-M142))*2.5,"")</f>
        <v/>
      </c>
    </row>
    <row r="143">
      <c r="U143" s="34">
        <f>IF(COUNT(D143:M143)=10,((D143-1)+(5-E143)+(F143-1)+(5-G143)+(H143-1)+(5-I143)+(J143-1)+(5-K143)+(L143-1)+(5-M143))*2.5,"")</f>
        <v/>
      </c>
    </row>
    <row r="144">
      <c r="U144" s="34">
        <f>IF(COUNT(D144:M144)=10,((D144-1)+(5-E144)+(F144-1)+(5-G144)+(H144-1)+(5-I144)+(J144-1)+(5-K144)+(L144-1)+(5-M144))*2.5,"")</f>
        <v/>
      </c>
    </row>
    <row r="145">
      <c r="U145" s="34">
        <f>IF(COUNT(D145:M145)=10,((D145-1)+(5-E145)+(F145-1)+(5-G145)+(H145-1)+(5-I145)+(J145-1)+(5-K145)+(L145-1)+(5-M145))*2.5,"")</f>
        <v/>
      </c>
    </row>
    <row r="146">
      <c r="U146" s="34">
        <f>IF(COUNT(D146:M146)=10,((D146-1)+(5-E146)+(F146-1)+(5-G146)+(H146-1)+(5-I146)+(J146-1)+(5-K146)+(L146-1)+(5-M146))*2.5,"")</f>
        <v/>
      </c>
    </row>
    <row r="147">
      <c r="U147" s="34">
        <f>IF(COUNT(D147:M147)=10,((D147-1)+(5-E147)+(F147-1)+(5-G147)+(H147-1)+(5-I147)+(J147-1)+(5-K147)+(L147-1)+(5-M147))*2.5,"")</f>
        <v/>
      </c>
    </row>
    <row r="148">
      <c r="U148" s="34">
        <f>IF(COUNT(D148:M148)=10,((D148-1)+(5-E148)+(F148-1)+(5-G148)+(H148-1)+(5-I148)+(J148-1)+(5-K148)+(L148-1)+(5-M148))*2.5,"")</f>
        <v/>
      </c>
    </row>
    <row r="149">
      <c r="U149" s="34">
        <f>IF(COUNT(D149:M149)=10,((D149-1)+(5-E149)+(F149-1)+(5-G149)+(H149-1)+(5-I149)+(J149-1)+(5-K149)+(L149-1)+(5-M149))*2.5,"")</f>
        <v/>
      </c>
    </row>
    <row r="150">
      <c r="U150" s="34">
        <f>IF(COUNT(D150:M150)=10,((D150-1)+(5-E150)+(F150-1)+(5-G150)+(H150-1)+(5-I150)+(J150-1)+(5-K150)+(L150-1)+(5-M150))*2.5,"")</f>
        <v/>
      </c>
    </row>
    <row r="151">
      <c r="U151" s="34">
        <f>IF(COUNT(D151:M151)=10,((D151-1)+(5-E151)+(F151-1)+(5-G151)+(H151-1)+(5-I151)+(J151-1)+(5-K151)+(L151-1)+(5-M151))*2.5,"")</f>
        <v/>
      </c>
    </row>
    <row r="152">
      <c r="U152" s="34">
        <f>IF(COUNT(D152:M152)=10,((D152-1)+(5-E152)+(F152-1)+(5-G152)+(H152-1)+(5-I152)+(J152-1)+(5-K152)+(L152-1)+(5-M152))*2.5,"")</f>
        <v/>
      </c>
    </row>
    <row r="153">
      <c r="U153" s="34">
        <f>IF(COUNT(D153:M153)=10,((D153-1)+(5-E153)+(F153-1)+(5-G153)+(H153-1)+(5-I153)+(J153-1)+(5-K153)+(L153-1)+(5-M153))*2.5,"")</f>
        <v/>
      </c>
    </row>
    <row r="154">
      <c r="U154" s="34">
        <f>IF(COUNT(D154:M154)=10,((D154-1)+(5-E154)+(F154-1)+(5-G154)+(H154-1)+(5-I154)+(J154-1)+(5-K154)+(L154-1)+(5-M154))*2.5,"")</f>
        <v/>
      </c>
    </row>
    <row r="155">
      <c r="U155" s="34">
        <f>IF(COUNT(D155:M155)=10,((D155-1)+(5-E155)+(F155-1)+(5-G155)+(H155-1)+(5-I155)+(J155-1)+(5-K155)+(L155-1)+(5-M155))*2.5,"")</f>
        <v/>
      </c>
    </row>
    <row r="156">
      <c r="U156" s="34">
        <f>IF(COUNT(D156:M156)=10,((D156-1)+(5-E156)+(F156-1)+(5-G156)+(H156-1)+(5-I156)+(J156-1)+(5-K156)+(L156-1)+(5-M156))*2.5,"")</f>
        <v/>
      </c>
    </row>
    <row r="157">
      <c r="U157" s="34">
        <f>IF(COUNT(D157:M157)=10,((D157-1)+(5-E157)+(F157-1)+(5-G157)+(H157-1)+(5-I157)+(J157-1)+(5-K157)+(L157-1)+(5-M157))*2.5,"")</f>
        <v/>
      </c>
    </row>
    <row r="158">
      <c r="U158" s="34">
        <f>IF(COUNT(D158:M158)=10,((D158-1)+(5-E158)+(F158-1)+(5-G158)+(H158-1)+(5-I158)+(J158-1)+(5-K158)+(L158-1)+(5-M158))*2.5,"")</f>
        <v/>
      </c>
    </row>
    <row r="159">
      <c r="U159" s="34">
        <f>IF(COUNT(D159:M159)=10,((D159-1)+(5-E159)+(F159-1)+(5-G159)+(H159-1)+(5-I159)+(J159-1)+(5-K159)+(L159-1)+(5-M159))*2.5,"")</f>
        <v/>
      </c>
    </row>
    <row r="160">
      <c r="U160" s="34">
        <f>IF(COUNT(D160:M160)=10,((D160-1)+(5-E160)+(F160-1)+(5-G160)+(H160-1)+(5-I160)+(J160-1)+(5-K160)+(L160-1)+(5-M160))*2.5,"")</f>
        <v/>
      </c>
    </row>
    <row r="161">
      <c r="U161" s="34">
        <f>IF(COUNT(D161:M161)=10,((D161-1)+(5-E161)+(F161-1)+(5-G161)+(H161-1)+(5-I161)+(J161-1)+(5-K161)+(L161-1)+(5-M161))*2.5,"")</f>
        <v/>
      </c>
    </row>
    <row r="162">
      <c r="U162" s="34">
        <f>IF(COUNT(D162:M162)=10,((D162-1)+(5-E162)+(F162-1)+(5-G162)+(H162-1)+(5-I162)+(J162-1)+(5-K162)+(L162-1)+(5-M162))*2.5,"")</f>
        <v/>
      </c>
    </row>
    <row r="163">
      <c r="U163" s="34">
        <f>IF(COUNT(D163:M163)=10,((D163-1)+(5-E163)+(F163-1)+(5-G163)+(H163-1)+(5-I163)+(J163-1)+(5-K163)+(L163-1)+(5-M163))*2.5,"")</f>
        <v/>
      </c>
    </row>
    <row r="164">
      <c r="U164" s="34">
        <f>IF(COUNT(D164:M164)=10,((D164-1)+(5-E164)+(F164-1)+(5-G164)+(H164-1)+(5-I164)+(J164-1)+(5-K164)+(L164-1)+(5-M164))*2.5,"")</f>
        <v/>
      </c>
    </row>
    <row r="165">
      <c r="U165" s="34">
        <f>IF(COUNT(D165:M165)=10,((D165-1)+(5-E165)+(F165-1)+(5-G165)+(H165-1)+(5-I165)+(J165-1)+(5-K165)+(L165-1)+(5-M165))*2.5,"")</f>
        <v/>
      </c>
    </row>
    <row r="166">
      <c r="U166" s="34">
        <f>IF(COUNT(D166:M166)=10,((D166-1)+(5-E166)+(F166-1)+(5-G166)+(H166-1)+(5-I166)+(J166-1)+(5-K166)+(L166-1)+(5-M166))*2.5,"")</f>
        <v/>
      </c>
    </row>
    <row r="167">
      <c r="U167" s="34">
        <f>IF(COUNT(D167:M167)=10,((D167-1)+(5-E167)+(F167-1)+(5-G167)+(H167-1)+(5-I167)+(J167-1)+(5-K167)+(L167-1)+(5-M167))*2.5,"")</f>
        <v/>
      </c>
    </row>
    <row r="168">
      <c r="U168" s="34">
        <f>IF(COUNT(D168:M168)=10,((D168-1)+(5-E168)+(F168-1)+(5-G168)+(H168-1)+(5-I168)+(J168-1)+(5-K168)+(L168-1)+(5-M168))*2.5,"")</f>
        <v/>
      </c>
    </row>
    <row r="169">
      <c r="U169" s="34">
        <f>IF(COUNT(D169:M169)=10,((D169-1)+(5-E169)+(F169-1)+(5-G169)+(H169-1)+(5-I169)+(J169-1)+(5-K169)+(L169-1)+(5-M169))*2.5,"")</f>
        <v/>
      </c>
    </row>
    <row r="170">
      <c r="U170" s="34">
        <f>IF(COUNT(D170:M170)=10,((D170-1)+(5-E170)+(F170-1)+(5-G170)+(H170-1)+(5-I170)+(J170-1)+(5-K170)+(L170-1)+(5-M170))*2.5,"")</f>
        <v/>
      </c>
    </row>
    <row r="171">
      <c r="U171" s="34">
        <f>IF(COUNT(D171:M171)=10,((D171-1)+(5-E171)+(F171-1)+(5-G171)+(H171-1)+(5-I171)+(J171-1)+(5-K171)+(L171-1)+(5-M171))*2.5,"")</f>
        <v/>
      </c>
    </row>
    <row r="172">
      <c r="U172" s="34">
        <f>IF(COUNT(D172:M172)=10,((D172-1)+(5-E172)+(F172-1)+(5-G172)+(H172-1)+(5-I172)+(J172-1)+(5-K172)+(L172-1)+(5-M172))*2.5,"")</f>
        <v/>
      </c>
    </row>
    <row r="173">
      <c r="U173" s="34">
        <f>IF(COUNT(D173:M173)=10,((D173-1)+(5-E173)+(F173-1)+(5-G173)+(H173-1)+(5-I173)+(J173-1)+(5-K173)+(L173-1)+(5-M173))*2.5,"")</f>
        <v/>
      </c>
    </row>
    <row r="174">
      <c r="U174" s="34">
        <f>IF(COUNT(D174:M174)=10,((D174-1)+(5-E174)+(F174-1)+(5-G174)+(H174-1)+(5-I174)+(J174-1)+(5-K174)+(L174-1)+(5-M174))*2.5,"")</f>
        <v/>
      </c>
    </row>
    <row r="175">
      <c r="U175" s="34">
        <f>IF(COUNT(D175:M175)=10,((D175-1)+(5-E175)+(F175-1)+(5-G175)+(H175-1)+(5-I175)+(J175-1)+(5-K175)+(L175-1)+(5-M175))*2.5,"")</f>
        <v/>
      </c>
    </row>
    <row r="176">
      <c r="U176" s="34">
        <f>IF(COUNT(D176:M176)=10,((D176-1)+(5-E176)+(F176-1)+(5-G176)+(H176-1)+(5-I176)+(J176-1)+(5-K176)+(L176-1)+(5-M176))*2.5,"")</f>
        <v/>
      </c>
    </row>
    <row r="177">
      <c r="U177" s="34">
        <f>IF(COUNT(D177:M177)=10,((D177-1)+(5-E177)+(F177-1)+(5-G177)+(H177-1)+(5-I177)+(J177-1)+(5-K177)+(L177-1)+(5-M177))*2.5,"")</f>
        <v/>
      </c>
    </row>
    <row r="178">
      <c r="U178" s="34">
        <f>IF(COUNT(D178:M178)=10,((D178-1)+(5-E178)+(F178-1)+(5-G178)+(H178-1)+(5-I178)+(J178-1)+(5-K178)+(L178-1)+(5-M178))*2.5,"")</f>
        <v/>
      </c>
    </row>
    <row r="179">
      <c r="U179" s="34">
        <f>IF(COUNT(D179:M179)=10,((D179-1)+(5-E179)+(F179-1)+(5-G179)+(H179-1)+(5-I179)+(J179-1)+(5-K179)+(L179-1)+(5-M179))*2.5,"")</f>
        <v/>
      </c>
    </row>
    <row r="180">
      <c r="U180" s="34">
        <f>IF(COUNT(D180:M180)=10,((D180-1)+(5-E180)+(F180-1)+(5-G180)+(H180-1)+(5-I180)+(J180-1)+(5-K180)+(L180-1)+(5-M180))*2.5,"")</f>
        <v/>
      </c>
    </row>
    <row r="181">
      <c r="U181" s="34">
        <f>IF(COUNT(D181:M181)=10,((D181-1)+(5-E181)+(F181-1)+(5-G181)+(H181-1)+(5-I181)+(J181-1)+(5-K181)+(L181-1)+(5-M181))*2.5,"")</f>
        <v/>
      </c>
    </row>
    <row r="182">
      <c r="U182" s="34">
        <f>IF(COUNT(D182:M182)=10,((D182-1)+(5-E182)+(F182-1)+(5-G182)+(H182-1)+(5-I182)+(J182-1)+(5-K182)+(L182-1)+(5-M182))*2.5,"")</f>
        <v/>
      </c>
    </row>
    <row r="183">
      <c r="U183" s="34">
        <f>IF(COUNT(D183:M183)=10,((D183-1)+(5-E183)+(F183-1)+(5-G183)+(H183-1)+(5-I183)+(J183-1)+(5-K183)+(L183-1)+(5-M183))*2.5,"")</f>
        <v/>
      </c>
    </row>
    <row r="184">
      <c r="U184" s="34">
        <f>IF(COUNT(D184:M184)=10,((D184-1)+(5-E184)+(F184-1)+(5-G184)+(H184-1)+(5-I184)+(J184-1)+(5-K184)+(L184-1)+(5-M184))*2.5,"")</f>
        <v/>
      </c>
    </row>
    <row r="185">
      <c r="U185" s="34">
        <f>IF(COUNT(D185:M185)=10,((D185-1)+(5-E185)+(F185-1)+(5-G185)+(H185-1)+(5-I185)+(J185-1)+(5-K185)+(L185-1)+(5-M185))*2.5,"")</f>
        <v/>
      </c>
    </row>
    <row r="186">
      <c r="U186" s="34">
        <f>IF(COUNT(D186:M186)=10,((D186-1)+(5-E186)+(F186-1)+(5-G186)+(H186-1)+(5-I186)+(J186-1)+(5-K186)+(L186-1)+(5-M186))*2.5,"")</f>
        <v/>
      </c>
    </row>
    <row r="187">
      <c r="U187" s="34">
        <f>IF(COUNT(D187:M187)=10,((D187-1)+(5-E187)+(F187-1)+(5-G187)+(H187-1)+(5-I187)+(J187-1)+(5-K187)+(L187-1)+(5-M187))*2.5,"")</f>
        <v/>
      </c>
    </row>
    <row r="188">
      <c r="U188" s="34">
        <f>IF(COUNT(D188:M188)=10,((D188-1)+(5-E188)+(F188-1)+(5-G188)+(H188-1)+(5-I188)+(J188-1)+(5-K188)+(L188-1)+(5-M188))*2.5,"")</f>
        <v/>
      </c>
    </row>
    <row r="189">
      <c r="U189" s="34">
        <f>IF(COUNT(D189:M189)=10,((D189-1)+(5-E189)+(F189-1)+(5-G189)+(H189-1)+(5-I189)+(J189-1)+(5-K189)+(L189-1)+(5-M189))*2.5,"")</f>
        <v/>
      </c>
    </row>
    <row r="190">
      <c r="U190" s="34">
        <f>IF(COUNT(D190:M190)=10,((D190-1)+(5-E190)+(F190-1)+(5-G190)+(H190-1)+(5-I190)+(J190-1)+(5-K190)+(L190-1)+(5-M190))*2.5,"")</f>
        <v/>
      </c>
    </row>
    <row r="191">
      <c r="U191" s="34">
        <f>IF(COUNT(D191:M191)=10,((D191-1)+(5-E191)+(F191-1)+(5-G191)+(H191-1)+(5-I191)+(J191-1)+(5-K191)+(L191-1)+(5-M191))*2.5,"")</f>
        <v/>
      </c>
    </row>
    <row r="192">
      <c r="U192" s="34">
        <f>IF(COUNT(D192:M192)=10,((D192-1)+(5-E192)+(F192-1)+(5-G192)+(H192-1)+(5-I192)+(J192-1)+(5-K192)+(L192-1)+(5-M192))*2.5,"")</f>
        <v/>
      </c>
    </row>
    <row r="193">
      <c r="U193" s="34">
        <f>IF(COUNT(D193:M193)=10,((D193-1)+(5-E193)+(F193-1)+(5-G193)+(H193-1)+(5-I193)+(J193-1)+(5-K193)+(L193-1)+(5-M193))*2.5,"")</f>
        <v/>
      </c>
    </row>
    <row r="194">
      <c r="U194" s="34">
        <f>IF(COUNT(D194:M194)=10,((D194-1)+(5-E194)+(F194-1)+(5-G194)+(H194-1)+(5-I194)+(J194-1)+(5-K194)+(L194-1)+(5-M194))*2.5,"")</f>
        <v/>
      </c>
    </row>
    <row r="195">
      <c r="U195" s="34">
        <f>IF(COUNT(D195:M195)=10,((D195-1)+(5-E195)+(F195-1)+(5-G195)+(H195-1)+(5-I195)+(J195-1)+(5-K195)+(L195-1)+(5-M195))*2.5,"")</f>
        <v/>
      </c>
    </row>
    <row r="196">
      <c r="U196" s="34">
        <f>IF(COUNT(D196:M196)=10,((D196-1)+(5-E196)+(F196-1)+(5-G196)+(H196-1)+(5-I196)+(J196-1)+(5-K196)+(L196-1)+(5-M196))*2.5,"")</f>
        <v/>
      </c>
    </row>
    <row r="197">
      <c r="U197" s="34">
        <f>IF(COUNT(D197:M197)=10,((D197-1)+(5-E197)+(F197-1)+(5-G197)+(H197-1)+(5-I197)+(J197-1)+(5-K197)+(L197-1)+(5-M197))*2.5,"")</f>
        <v/>
      </c>
    </row>
    <row r="198">
      <c r="U198" s="34">
        <f>IF(COUNT(D198:M198)=10,((D198-1)+(5-E198)+(F198-1)+(5-G198)+(H198-1)+(5-I198)+(J198-1)+(5-K198)+(L198-1)+(5-M198))*2.5,"")</f>
        <v/>
      </c>
    </row>
    <row r="199">
      <c r="U199" s="34">
        <f>IF(COUNT(D199:M199)=10,((D199-1)+(5-E199)+(F199-1)+(5-G199)+(H199-1)+(5-I199)+(J199-1)+(5-K199)+(L199-1)+(5-M199))*2.5,"")</f>
        <v/>
      </c>
    </row>
    <row r="200">
      <c r="U200" s="34">
        <f>IF(COUNT(D200:M200)=10,((D200-1)+(5-E200)+(F200-1)+(5-G200)+(H200-1)+(5-I200)+(J200-1)+(5-K200)+(L200-1)+(5-M200))*2.5,"")</f>
        <v/>
      </c>
    </row>
    <row r="201">
      <c r="U201" s="34">
        <f>IF(COUNT(D201:M201)=10,((D201-1)+(5-E201)+(F201-1)+(5-G201)+(H201-1)+(5-I201)+(J201-1)+(5-K201)+(L201-1)+(5-M201))*2.5,"")</f>
        <v/>
      </c>
    </row>
    <row r="202">
      <c r="U202" s="34">
        <f>IF(COUNT(D202:M202)=10,((D202-1)+(5-E202)+(F202-1)+(5-G202)+(H202-1)+(5-I202)+(J202-1)+(5-K202)+(L202-1)+(5-M202))*2.5,"")</f>
        <v/>
      </c>
    </row>
    <row r="203">
      <c r="U203" s="34">
        <f>IF(COUNT(D203:M203)=10,((D203-1)+(5-E203)+(F203-1)+(5-G203)+(H203-1)+(5-I203)+(J203-1)+(5-K203)+(L203-1)+(5-M203))*2.5,"")</f>
        <v/>
      </c>
    </row>
    <row r="204">
      <c r="U204" s="34">
        <f>IF(COUNT(D204:M204)=10,((D204-1)+(5-E204)+(F204-1)+(5-G204)+(H204-1)+(5-I204)+(J204-1)+(5-K204)+(L204-1)+(5-M204))*2.5,"")</f>
        <v/>
      </c>
    </row>
    <row r="205">
      <c r="U205" s="34">
        <f>IF(COUNT(D205:M205)=10,((D205-1)+(5-E205)+(F205-1)+(5-G205)+(H205-1)+(5-I205)+(J205-1)+(5-K205)+(L205-1)+(5-M205))*2.5,"")</f>
        <v/>
      </c>
    </row>
    <row r="206">
      <c r="U206" s="34">
        <f>IF(COUNT(D206:M206)=10,((D206-1)+(5-E206)+(F206-1)+(5-G206)+(H206-1)+(5-I206)+(J206-1)+(5-K206)+(L206-1)+(5-M206))*2.5,"")</f>
        <v/>
      </c>
    </row>
    <row r="207">
      <c r="U207" s="34">
        <f>IF(COUNT(D207:M207)=10,((D207-1)+(5-E207)+(F207-1)+(5-G207)+(H207-1)+(5-I207)+(J207-1)+(5-K207)+(L207-1)+(5-M207))*2.5,"")</f>
        <v/>
      </c>
    </row>
    <row r="208">
      <c r="U208" s="34">
        <f>IF(COUNT(D208:M208)=10,((D208-1)+(5-E208)+(F208-1)+(5-G208)+(H208-1)+(5-I208)+(J208-1)+(5-K208)+(L208-1)+(5-M208))*2.5,"")</f>
        <v/>
      </c>
    </row>
    <row r="209">
      <c r="U209" s="34">
        <f>IF(COUNT(D209:M209)=10,((D209-1)+(5-E209)+(F209-1)+(5-G209)+(H209-1)+(5-I209)+(J209-1)+(5-K209)+(L209-1)+(5-M209))*2.5,"")</f>
        <v/>
      </c>
    </row>
    <row r="210">
      <c r="U210" s="34">
        <f>IF(COUNT(D210:M210)=10,((D210-1)+(5-E210)+(F210-1)+(5-G210)+(H210-1)+(5-I210)+(J210-1)+(5-K210)+(L210-1)+(5-M210))*2.5,"")</f>
        <v/>
      </c>
    </row>
    <row r="211">
      <c r="U211" s="34">
        <f>IF(COUNT(D211:M211)=10,((D211-1)+(5-E211)+(F211-1)+(5-G211)+(H211-1)+(5-I211)+(J211-1)+(5-K211)+(L211-1)+(5-M211))*2.5,"")</f>
        <v/>
      </c>
    </row>
    <row r="212">
      <c r="U212" s="34">
        <f>IF(COUNT(D212:M212)=10,((D212-1)+(5-E212)+(F212-1)+(5-G212)+(H212-1)+(5-I212)+(J212-1)+(5-K212)+(L212-1)+(5-M212))*2.5,"")</f>
        <v/>
      </c>
    </row>
    <row r="213">
      <c r="U213" s="34">
        <f>IF(COUNT(D213:M213)=10,((D213-1)+(5-E213)+(F213-1)+(5-G213)+(H213-1)+(5-I213)+(J213-1)+(5-K213)+(L213-1)+(5-M213))*2.5,"")</f>
        <v/>
      </c>
    </row>
    <row r="214">
      <c r="U214" s="34">
        <f>IF(COUNT(D214:M214)=10,((D214-1)+(5-E214)+(F214-1)+(5-G214)+(H214-1)+(5-I214)+(J214-1)+(5-K214)+(L214-1)+(5-M214))*2.5,"")</f>
        <v/>
      </c>
    </row>
    <row r="215">
      <c r="U215" s="34">
        <f>IF(COUNT(D215:M215)=10,((D215-1)+(5-E215)+(F215-1)+(5-G215)+(H215-1)+(5-I215)+(J215-1)+(5-K215)+(L215-1)+(5-M215))*2.5,"")</f>
        <v/>
      </c>
    </row>
    <row r="216">
      <c r="U216" s="34">
        <f>IF(COUNT(D216:M216)=10,((D216-1)+(5-E216)+(F216-1)+(5-G216)+(H216-1)+(5-I216)+(J216-1)+(5-K216)+(L216-1)+(5-M216))*2.5,"")</f>
        <v/>
      </c>
    </row>
    <row r="217">
      <c r="U217" s="34">
        <f>IF(COUNT(D217:M217)=10,((D217-1)+(5-E217)+(F217-1)+(5-G217)+(H217-1)+(5-I217)+(J217-1)+(5-K217)+(L217-1)+(5-M217))*2.5,"")</f>
        <v/>
      </c>
    </row>
    <row r="218">
      <c r="U218" s="34">
        <f>IF(COUNT(D218:M218)=10,((D218-1)+(5-E218)+(F218-1)+(5-G218)+(H218-1)+(5-I218)+(J218-1)+(5-K218)+(L218-1)+(5-M218))*2.5,"")</f>
        <v/>
      </c>
    </row>
    <row r="219">
      <c r="U219" s="34">
        <f>IF(COUNT(D219:M219)=10,((D219-1)+(5-E219)+(F219-1)+(5-G219)+(H219-1)+(5-I219)+(J219-1)+(5-K219)+(L219-1)+(5-M219))*2.5,"")</f>
        <v/>
      </c>
    </row>
    <row r="220">
      <c r="U220" s="34">
        <f>IF(COUNT(D220:M220)=10,((D220-1)+(5-E220)+(F220-1)+(5-G220)+(H220-1)+(5-I220)+(J220-1)+(5-K220)+(L220-1)+(5-M220))*2.5,"")</f>
        <v/>
      </c>
    </row>
    <row r="221">
      <c r="U221" s="34">
        <f>IF(COUNT(D221:M221)=10,((D221-1)+(5-E221)+(F221-1)+(5-G221)+(H221-1)+(5-I221)+(J221-1)+(5-K221)+(L221-1)+(5-M221))*2.5,"")</f>
        <v/>
      </c>
    </row>
    <row r="222">
      <c r="U222" s="34">
        <f>IF(COUNT(D222:M222)=10,((D222-1)+(5-E222)+(F222-1)+(5-G222)+(H222-1)+(5-I222)+(J222-1)+(5-K222)+(L222-1)+(5-M222))*2.5,"")</f>
        <v/>
      </c>
    </row>
    <row r="223">
      <c r="U223" s="34">
        <f>IF(COUNT(D223:M223)=10,((D223-1)+(5-E223)+(F223-1)+(5-G223)+(H223-1)+(5-I223)+(J223-1)+(5-K223)+(L223-1)+(5-M223))*2.5,"")</f>
        <v/>
      </c>
    </row>
    <row r="224">
      <c r="U224" s="34">
        <f>IF(COUNT(D224:M224)=10,((D224-1)+(5-E224)+(F224-1)+(5-G224)+(H224-1)+(5-I224)+(J224-1)+(5-K224)+(L224-1)+(5-M224))*2.5,"")</f>
        <v/>
      </c>
    </row>
    <row r="225">
      <c r="U225" s="34">
        <f>IF(COUNT(D225:M225)=10,((D225-1)+(5-E225)+(F225-1)+(5-G225)+(H225-1)+(5-I225)+(J225-1)+(5-K225)+(L225-1)+(5-M225))*2.5,"")</f>
        <v/>
      </c>
    </row>
    <row r="226">
      <c r="U226" s="34">
        <f>IF(COUNT(D226:M226)=10,((D226-1)+(5-E226)+(F226-1)+(5-G226)+(H226-1)+(5-I226)+(J226-1)+(5-K226)+(L226-1)+(5-M226))*2.5,"")</f>
        <v/>
      </c>
    </row>
    <row r="227">
      <c r="U227" s="34">
        <f>IF(COUNT(D227:M227)=10,((D227-1)+(5-E227)+(F227-1)+(5-G227)+(H227-1)+(5-I227)+(J227-1)+(5-K227)+(L227-1)+(5-M227))*2.5,"")</f>
        <v/>
      </c>
    </row>
    <row r="228">
      <c r="U228" s="34">
        <f>IF(COUNT(D228:M228)=10,((D228-1)+(5-E228)+(F228-1)+(5-G228)+(H228-1)+(5-I228)+(J228-1)+(5-K228)+(L228-1)+(5-M228))*2.5,"")</f>
        <v/>
      </c>
    </row>
    <row r="229">
      <c r="U229" s="34">
        <f>IF(COUNT(D229:M229)=10,((D229-1)+(5-E229)+(F229-1)+(5-G229)+(H229-1)+(5-I229)+(J229-1)+(5-K229)+(L229-1)+(5-M229))*2.5,"")</f>
        <v/>
      </c>
    </row>
    <row r="230">
      <c r="U230" s="34">
        <f>IF(COUNT(D230:M230)=10,((D230-1)+(5-E230)+(F230-1)+(5-G230)+(H230-1)+(5-I230)+(J230-1)+(5-K230)+(L230-1)+(5-M230))*2.5,"")</f>
        <v/>
      </c>
    </row>
    <row r="231">
      <c r="U231" s="34">
        <f>IF(COUNT(D231:M231)=10,((D231-1)+(5-E231)+(F231-1)+(5-G231)+(H231-1)+(5-I231)+(J231-1)+(5-K231)+(L231-1)+(5-M231))*2.5,"")</f>
        <v/>
      </c>
    </row>
    <row r="232">
      <c r="U232" s="34">
        <f>IF(COUNT(D232:M232)=10,((D232-1)+(5-E232)+(F232-1)+(5-G232)+(H232-1)+(5-I232)+(J232-1)+(5-K232)+(L232-1)+(5-M232))*2.5,"")</f>
        <v/>
      </c>
    </row>
    <row r="233">
      <c r="U233" s="34">
        <f>IF(COUNT(D233:M233)=10,((D233-1)+(5-E233)+(F233-1)+(5-G233)+(H233-1)+(5-I233)+(J233-1)+(5-K233)+(L233-1)+(5-M233))*2.5,"")</f>
        <v/>
      </c>
    </row>
    <row r="234">
      <c r="U234" s="34">
        <f>IF(COUNT(D234:M234)=10,((D234-1)+(5-E234)+(F234-1)+(5-G234)+(H234-1)+(5-I234)+(J234-1)+(5-K234)+(L234-1)+(5-M234))*2.5,"")</f>
        <v/>
      </c>
    </row>
    <row r="235">
      <c r="U235" s="34">
        <f>IF(COUNT(D235:M235)=10,((D235-1)+(5-E235)+(F235-1)+(5-G235)+(H235-1)+(5-I235)+(J235-1)+(5-K235)+(L235-1)+(5-M235))*2.5,"")</f>
        <v/>
      </c>
    </row>
    <row r="236">
      <c r="U236" s="34">
        <f>IF(COUNT(D236:M236)=10,((D236-1)+(5-E236)+(F236-1)+(5-G236)+(H236-1)+(5-I236)+(J236-1)+(5-K236)+(L236-1)+(5-M236))*2.5,"")</f>
        <v/>
      </c>
    </row>
    <row r="237">
      <c r="U237" s="34">
        <f>IF(COUNT(D237:M237)=10,((D237-1)+(5-E237)+(F237-1)+(5-G237)+(H237-1)+(5-I237)+(J237-1)+(5-K237)+(L237-1)+(5-M237))*2.5,"")</f>
        <v/>
      </c>
    </row>
    <row r="238">
      <c r="U238" s="34">
        <f>IF(COUNT(D238:M238)=10,((D238-1)+(5-E238)+(F238-1)+(5-G238)+(H238-1)+(5-I238)+(J238-1)+(5-K238)+(L238-1)+(5-M238))*2.5,"")</f>
        <v/>
      </c>
    </row>
    <row r="239">
      <c r="U239" s="34">
        <f>IF(COUNT(D239:M239)=10,((D239-1)+(5-E239)+(F239-1)+(5-G239)+(H239-1)+(5-I239)+(J239-1)+(5-K239)+(L239-1)+(5-M239))*2.5,"")</f>
        <v/>
      </c>
    </row>
    <row r="240">
      <c r="U240" s="34">
        <f>IF(COUNT(D240:M240)=10,((D240-1)+(5-E240)+(F240-1)+(5-G240)+(H240-1)+(5-I240)+(J240-1)+(5-K240)+(L240-1)+(5-M240))*2.5,"")</f>
        <v/>
      </c>
    </row>
    <row r="241">
      <c r="U241" s="34">
        <f>IF(COUNT(D241:M241)=10,((D241-1)+(5-E241)+(F241-1)+(5-G241)+(H241-1)+(5-I241)+(J241-1)+(5-K241)+(L241-1)+(5-M241))*2.5,"")</f>
        <v/>
      </c>
    </row>
    <row r="242">
      <c r="U242" s="34">
        <f>IF(COUNT(D242:M242)=10,((D242-1)+(5-E242)+(F242-1)+(5-G242)+(H242-1)+(5-I242)+(J242-1)+(5-K242)+(L242-1)+(5-M242))*2.5,"")</f>
        <v/>
      </c>
    </row>
    <row r="243">
      <c r="U243" s="34">
        <f>IF(COUNT(D243:M243)=10,((D243-1)+(5-E243)+(F243-1)+(5-G243)+(H243-1)+(5-I243)+(J243-1)+(5-K243)+(L243-1)+(5-M243))*2.5,"")</f>
        <v/>
      </c>
    </row>
    <row r="244">
      <c r="U244" s="34">
        <f>IF(COUNT(D244:M244)=10,((D244-1)+(5-E244)+(F244-1)+(5-G244)+(H244-1)+(5-I244)+(J244-1)+(5-K244)+(L244-1)+(5-M244))*2.5,"")</f>
        <v/>
      </c>
    </row>
    <row r="245">
      <c r="U245" s="34">
        <f>IF(COUNT(D245:M245)=10,((D245-1)+(5-E245)+(F245-1)+(5-G245)+(H245-1)+(5-I245)+(J245-1)+(5-K245)+(L245-1)+(5-M245))*2.5,"")</f>
        <v/>
      </c>
    </row>
    <row r="246">
      <c r="U246" s="34">
        <f>IF(COUNT(D246:M246)=10,((D246-1)+(5-E246)+(F246-1)+(5-G246)+(H246-1)+(5-I246)+(J246-1)+(5-K246)+(L246-1)+(5-M246))*2.5,"")</f>
        <v/>
      </c>
    </row>
    <row r="247">
      <c r="U247" s="34">
        <f>IF(COUNT(D247:M247)=10,((D247-1)+(5-E247)+(F247-1)+(5-G247)+(H247-1)+(5-I247)+(J247-1)+(5-K247)+(L247-1)+(5-M247))*2.5,"")</f>
        <v/>
      </c>
    </row>
    <row r="248">
      <c r="U248" s="34">
        <f>IF(COUNT(D248:M248)=10,((D248-1)+(5-E248)+(F248-1)+(5-G248)+(H248-1)+(5-I248)+(J248-1)+(5-K248)+(L248-1)+(5-M248))*2.5,"")</f>
        <v/>
      </c>
    </row>
    <row r="249">
      <c r="U249" s="34">
        <f>IF(COUNT(D249:M249)=10,((D249-1)+(5-E249)+(F249-1)+(5-G249)+(H249-1)+(5-I249)+(J249-1)+(5-K249)+(L249-1)+(5-M249))*2.5,"")</f>
        <v/>
      </c>
    </row>
    <row r="250">
      <c r="U250" s="34">
        <f>IF(COUNT(D250:M250)=10,((D250-1)+(5-E250)+(F250-1)+(5-G250)+(H250-1)+(5-I250)+(J250-1)+(5-K250)+(L250-1)+(5-M250))*2.5,"")</f>
        <v/>
      </c>
    </row>
    <row r="251">
      <c r="U251" s="34">
        <f>IF(COUNT(D251:M251)=10,((D251-1)+(5-E251)+(F251-1)+(5-G251)+(H251-1)+(5-I251)+(J251-1)+(5-K251)+(L251-1)+(5-M251))*2.5,"")</f>
        <v/>
      </c>
    </row>
    <row r="252">
      <c r="U252" s="34">
        <f>IF(COUNT(D252:M252)=10,((D252-1)+(5-E252)+(F252-1)+(5-G252)+(H252-1)+(5-I252)+(J252-1)+(5-K252)+(L252-1)+(5-M252))*2.5,"")</f>
        <v/>
      </c>
    </row>
    <row r="253">
      <c r="U253" s="34">
        <f>IF(COUNT(D253:M253)=10,((D253-1)+(5-E253)+(F253-1)+(5-G253)+(H253-1)+(5-I253)+(J253-1)+(5-K253)+(L253-1)+(5-M253))*2.5,"")</f>
        <v/>
      </c>
    </row>
    <row r="254">
      <c r="U254" s="34">
        <f>IF(COUNT(D254:M254)=10,((D254-1)+(5-E254)+(F254-1)+(5-G254)+(H254-1)+(5-I254)+(J254-1)+(5-K254)+(L254-1)+(5-M254))*2.5,"")</f>
        <v/>
      </c>
    </row>
    <row r="255">
      <c r="U255" s="34">
        <f>IF(COUNT(D255:M255)=10,((D255-1)+(5-E255)+(F255-1)+(5-G255)+(H255-1)+(5-I255)+(J255-1)+(5-K255)+(L255-1)+(5-M255))*2.5,"")</f>
        <v/>
      </c>
    </row>
    <row r="256">
      <c r="U256" s="34">
        <f>IF(COUNT(D256:M256)=10,((D256-1)+(5-E256)+(F256-1)+(5-G256)+(H256-1)+(5-I256)+(J256-1)+(5-K256)+(L256-1)+(5-M256))*2.5,"")</f>
        <v/>
      </c>
    </row>
    <row r="257">
      <c r="U257" s="34">
        <f>IF(COUNT(D257:M257)=10,((D257-1)+(5-E257)+(F257-1)+(5-G257)+(H257-1)+(5-I257)+(J257-1)+(5-K257)+(L257-1)+(5-M257))*2.5,"")</f>
        <v/>
      </c>
    </row>
    <row r="258">
      <c r="U258" s="34">
        <f>IF(COUNT(D258:M258)=10,((D258-1)+(5-E258)+(F258-1)+(5-G258)+(H258-1)+(5-I258)+(J258-1)+(5-K258)+(L258-1)+(5-M258))*2.5,"")</f>
        <v/>
      </c>
    </row>
    <row r="259">
      <c r="U259" s="34">
        <f>IF(COUNT(D259:M259)=10,((D259-1)+(5-E259)+(F259-1)+(5-G259)+(H259-1)+(5-I259)+(J259-1)+(5-K259)+(L259-1)+(5-M259))*2.5,"")</f>
        <v/>
      </c>
    </row>
    <row r="260">
      <c r="U260" s="34">
        <f>IF(COUNT(D260:M260)=10,((D260-1)+(5-E260)+(F260-1)+(5-G260)+(H260-1)+(5-I260)+(J260-1)+(5-K260)+(L260-1)+(5-M260))*2.5,"")</f>
        <v/>
      </c>
    </row>
    <row r="261">
      <c r="U261" s="34">
        <f>IF(COUNT(D261:M261)=10,((D261-1)+(5-E261)+(F261-1)+(5-G261)+(H261-1)+(5-I261)+(J261-1)+(5-K261)+(L261-1)+(5-M261))*2.5,"")</f>
        <v/>
      </c>
    </row>
    <row r="262">
      <c r="U262" s="34">
        <f>IF(COUNT(D262:M262)=10,((D262-1)+(5-E262)+(F262-1)+(5-G262)+(H262-1)+(5-I262)+(J262-1)+(5-K262)+(L262-1)+(5-M262))*2.5,"")</f>
        <v/>
      </c>
    </row>
    <row r="263">
      <c r="U263" s="34">
        <f>IF(COUNT(D263:M263)=10,((D263-1)+(5-E263)+(F263-1)+(5-G263)+(H263-1)+(5-I263)+(J263-1)+(5-K263)+(L263-1)+(5-M263))*2.5,"")</f>
        <v/>
      </c>
    </row>
    <row r="264">
      <c r="U264" s="34">
        <f>IF(COUNT(D264:M264)=10,((D264-1)+(5-E264)+(F264-1)+(5-G264)+(H264-1)+(5-I264)+(J264-1)+(5-K264)+(L264-1)+(5-M264))*2.5,"")</f>
        <v/>
      </c>
    </row>
    <row r="265">
      <c r="U265" s="34">
        <f>IF(COUNT(D265:M265)=10,((D265-1)+(5-E265)+(F265-1)+(5-G265)+(H265-1)+(5-I265)+(J265-1)+(5-K265)+(L265-1)+(5-M265))*2.5,"")</f>
        <v/>
      </c>
    </row>
    <row r="266">
      <c r="U266" s="34">
        <f>IF(COUNT(D266:M266)=10,((D266-1)+(5-E266)+(F266-1)+(5-G266)+(H266-1)+(5-I266)+(J266-1)+(5-K266)+(L266-1)+(5-M266))*2.5,"")</f>
        <v/>
      </c>
    </row>
    <row r="267">
      <c r="U267" s="34">
        <f>IF(COUNT(D267:M267)=10,((D267-1)+(5-E267)+(F267-1)+(5-G267)+(H267-1)+(5-I267)+(J267-1)+(5-K267)+(L267-1)+(5-M267))*2.5,"")</f>
        <v/>
      </c>
    </row>
    <row r="268">
      <c r="U268" s="34">
        <f>IF(COUNT(D268:M268)=10,((D268-1)+(5-E268)+(F268-1)+(5-G268)+(H268-1)+(5-I268)+(J268-1)+(5-K268)+(L268-1)+(5-M268))*2.5,"")</f>
        <v/>
      </c>
    </row>
    <row r="269">
      <c r="U269" s="34">
        <f>IF(COUNT(D269:M269)=10,((D269-1)+(5-E269)+(F269-1)+(5-G269)+(H269-1)+(5-I269)+(J269-1)+(5-K269)+(L269-1)+(5-M269))*2.5,"")</f>
        <v/>
      </c>
    </row>
    <row r="270">
      <c r="U270" s="34">
        <f>IF(COUNT(D270:M270)=10,((D270-1)+(5-E270)+(F270-1)+(5-G270)+(H270-1)+(5-I270)+(J270-1)+(5-K270)+(L270-1)+(5-M270))*2.5,"")</f>
        <v/>
      </c>
    </row>
    <row r="271">
      <c r="U271" s="34">
        <f>IF(COUNT(D271:M271)=10,((D271-1)+(5-E271)+(F271-1)+(5-G271)+(H271-1)+(5-I271)+(J271-1)+(5-K271)+(L271-1)+(5-M271))*2.5,"")</f>
        <v/>
      </c>
    </row>
    <row r="272">
      <c r="U272" s="34">
        <f>IF(COUNT(D272:M272)=10,((D272-1)+(5-E272)+(F272-1)+(5-G272)+(H272-1)+(5-I272)+(J272-1)+(5-K272)+(L272-1)+(5-M272))*2.5,"")</f>
        <v/>
      </c>
    </row>
    <row r="273">
      <c r="U273" s="34">
        <f>IF(COUNT(D273:M273)=10,((D273-1)+(5-E273)+(F273-1)+(5-G273)+(H273-1)+(5-I273)+(J273-1)+(5-K273)+(L273-1)+(5-M273))*2.5,"")</f>
        <v/>
      </c>
    </row>
    <row r="274">
      <c r="U274" s="34">
        <f>IF(COUNT(D274:M274)=10,((D274-1)+(5-E274)+(F274-1)+(5-G274)+(H274-1)+(5-I274)+(J274-1)+(5-K274)+(L274-1)+(5-M274))*2.5,"")</f>
        <v/>
      </c>
    </row>
    <row r="275">
      <c r="U275" s="34">
        <f>IF(COUNT(D275:M275)=10,((D275-1)+(5-E275)+(F275-1)+(5-G275)+(H275-1)+(5-I275)+(J275-1)+(5-K275)+(L275-1)+(5-M275))*2.5,"")</f>
        <v/>
      </c>
    </row>
    <row r="276">
      <c r="U276" s="34">
        <f>IF(COUNT(D276:M276)=10,((D276-1)+(5-E276)+(F276-1)+(5-G276)+(H276-1)+(5-I276)+(J276-1)+(5-K276)+(L276-1)+(5-M276))*2.5,"")</f>
        <v/>
      </c>
    </row>
    <row r="277">
      <c r="U277" s="34">
        <f>IF(COUNT(D277:M277)=10,((D277-1)+(5-E277)+(F277-1)+(5-G277)+(H277-1)+(5-I277)+(J277-1)+(5-K277)+(L277-1)+(5-M277))*2.5,"")</f>
        <v/>
      </c>
    </row>
    <row r="278">
      <c r="U278" s="34">
        <f>IF(COUNT(D278:M278)=10,((D278-1)+(5-E278)+(F278-1)+(5-G278)+(H278-1)+(5-I278)+(J278-1)+(5-K278)+(L278-1)+(5-M278))*2.5,"")</f>
        <v/>
      </c>
    </row>
    <row r="279">
      <c r="U279" s="34">
        <f>IF(COUNT(D279:M279)=10,((D279-1)+(5-E279)+(F279-1)+(5-G279)+(H279-1)+(5-I279)+(J279-1)+(5-K279)+(L279-1)+(5-M279))*2.5,"")</f>
        <v/>
      </c>
    </row>
    <row r="280">
      <c r="U280" s="34">
        <f>IF(COUNT(D280:M280)=10,((D280-1)+(5-E280)+(F280-1)+(5-G280)+(H280-1)+(5-I280)+(J280-1)+(5-K280)+(L280-1)+(5-M280))*2.5,"")</f>
        <v/>
      </c>
    </row>
    <row r="281">
      <c r="U281" s="34">
        <f>IF(COUNT(D281:M281)=10,((D281-1)+(5-E281)+(F281-1)+(5-G281)+(H281-1)+(5-I281)+(J281-1)+(5-K281)+(L281-1)+(5-M281))*2.5,"")</f>
        <v/>
      </c>
    </row>
    <row r="282">
      <c r="U282" s="34">
        <f>IF(COUNT(D282:M282)=10,((D282-1)+(5-E282)+(F282-1)+(5-G282)+(H282-1)+(5-I282)+(J282-1)+(5-K282)+(L282-1)+(5-M282))*2.5,"")</f>
        <v/>
      </c>
    </row>
    <row r="283">
      <c r="U283" s="34">
        <f>IF(COUNT(D283:M283)=10,((D283-1)+(5-E283)+(F283-1)+(5-G283)+(H283-1)+(5-I283)+(J283-1)+(5-K283)+(L283-1)+(5-M283))*2.5,"")</f>
        <v/>
      </c>
    </row>
    <row r="284">
      <c r="U284" s="34">
        <f>IF(COUNT(D284:M284)=10,((D284-1)+(5-E284)+(F284-1)+(5-G284)+(H284-1)+(5-I284)+(J284-1)+(5-K284)+(L284-1)+(5-M284))*2.5,"")</f>
        <v/>
      </c>
    </row>
    <row r="285">
      <c r="U285" s="34">
        <f>IF(COUNT(D285:M285)=10,((D285-1)+(5-E285)+(F285-1)+(5-G285)+(H285-1)+(5-I285)+(J285-1)+(5-K285)+(L285-1)+(5-M285))*2.5,"")</f>
        <v/>
      </c>
    </row>
    <row r="286">
      <c r="U286" s="34">
        <f>IF(COUNT(D286:M286)=10,((D286-1)+(5-E286)+(F286-1)+(5-G286)+(H286-1)+(5-I286)+(J286-1)+(5-K286)+(L286-1)+(5-M286))*2.5,"")</f>
        <v/>
      </c>
    </row>
    <row r="287">
      <c r="U287" s="34">
        <f>IF(COUNT(D287:M287)=10,((D287-1)+(5-E287)+(F287-1)+(5-G287)+(H287-1)+(5-I287)+(J287-1)+(5-K287)+(L287-1)+(5-M287))*2.5,"")</f>
        <v/>
      </c>
    </row>
    <row r="288">
      <c r="U288" s="34">
        <f>IF(COUNT(D288:M288)=10,((D288-1)+(5-E288)+(F288-1)+(5-G288)+(H288-1)+(5-I288)+(J288-1)+(5-K288)+(L288-1)+(5-M288))*2.5,"")</f>
        <v/>
      </c>
    </row>
    <row r="289">
      <c r="U289" s="34">
        <f>IF(COUNT(D289:M289)=10,((D289-1)+(5-E289)+(F289-1)+(5-G289)+(H289-1)+(5-I289)+(J289-1)+(5-K289)+(L289-1)+(5-M289))*2.5,"")</f>
        <v/>
      </c>
    </row>
    <row r="290">
      <c r="U290" s="34">
        <f>IF(COUNT(D290:M290)=10,((D290-1)+(5-E290)+(F290-1)+(5-G290)+(H290-1)+(5-I290)+(J290-1)+(5-K290)+(L290-1)+(5-M290))*2.5,"")</f>
        <v/>
      </c>
    </row>
    <row r="291">
      <c r="U291" s="34">
        <f>IF(COUNT(D291:M291)=10,((D291-1)+(5-E291)+(F291-1)+(5-G291)+(H291-1)+(5-I291)+(J291-1)+(5-K291)+(L291-1)+(5-M291))*2.5,"")</f>
        <v/>
      </c>
    </row>
    <row r="292">
      <c r="U292" s="34">
        <f>IF(COUNT(D292:M292)=10,((D292-1)+(5-E292)+(F292-1)+(5-G292)+(H292-1)+(5-I292)+(J292-1)+(5-K292)+(L292-1)+(5-M292))*2.5,"")</f>
        <v/>
      </c>
    </row>
    <row r="293">
      <c r="U293" s="34">
        <f>IF(COUNT(D293:M293)=10,((D293-1)+(5-E293)+(F293-1)+(5-G293)+(H293-1)+(5-I293)+(J293-1)+(5-K293)+(L293-1)+(5-M293))*2.5,"")</f>
        <v/>
      </c>
    </row>
    <row r="294">
      <c r="U294" s="34">
        <f>IF(COUNT(D294:M294)=10,((D294-1)+(5-E294)+(F294-1)+(5-G294)+(H294-1)+(5-I294)+(J294-1)+(5-K294)+(L294-1)+(5-M294))*2.5,"")</f>
        <v/>
      </c>
    </row>
    <row r="295">
      <c r="U295" s="34">
        <f>IF(COUNT(D295:M295)=10,((D295-1)+(5-E295)+(F295-1)+(5-G295)+(H295-1)+(5-I295)+(J295-1)+(5-K295)+(L295-1)+(5-M295))*2.5,"")</f>
        <v/>
      </c>
    </row>
    <row r="296">
      <c r="U296" s="34">
        <f>IF(COUNT(D296:M296)=10,((D296-1)+(5-E296)+(F296-1)+(5-G296)+(H296-1)+(5-I296)+(J296-1)+(5-K296)+(L296-1)+(5-M296))*2.5,"")</f>
        <v/>
      </c>
    </row>
    <row r="297">
      <c r="U297" s="34">
        <f>IF(COUNT(D297:M297)=10,((D297-1)+(5-E297)+(F297-1)+(5-G297)+(H297-1)+(5-I297)+(J297-1)+(5-K297)+(L297-1)+(5-M297))*2.5,"")</f>
        <v/>
      </c>
    </row>
    <row r="298">
      <c r="U298" s="34">
        <f>IF(COUNT(D298:M298)=10,((D298-1)+(5-E298)+(F298-1)+(5-G298)+(H298-1)+(5-I298)+(J298-1)+(5-K298)+(L298-1)+(5-M298))*2.5,"")</f>
        <v/>
      </c>
    </row>
    <row r="299">
      <c r="U299" s="34">
        <f>IF(COUNT(D299:M299)=10,((D299-1)+(5-E299)+(F299-1)+(5-G299)+(H299-1)+(5-I299)+(J299-1)+(5-K299)+(L299-1)+(5-M299))*2.5,"")</f>
        <v/>
      </c>
    </row>
    <row r="300">
      <c r="U300" s="34">
        <f>IF(COUNT(D300:M300)=10,((D300-1)+(5-E300)+(F300-1)+(5-G300)+(H300-1)+(5-I300)+(J300-1)+(5-K300)+(L300-1)+(5-M300))*2.5,"")</f>
        <v/>
      </c>
    </row>
    <row r="301">
      <c r="U301" s="34">
        <f>IF(COUNT(D301:M301)=10,((D301-1)+(5-E301)+(F301-1)+(5-G301)+(H301-1)+(5-I301)+(J301-1)+(5-K301)+(L301-1)+(5-M301))*2.5,"")</f>
        <v/>
      </c>
    </row>
    <row r="302">
      <c r="U302" s="34">
        <f>IF(COUNT(D302:M302)=10,((D302-1)+(5-E302)+(F302-1)+(5-G302)+(H302-1)+(5-I302)+(J302-1)+(5-K302)+(L302-1)+(5-M302))*2.5,"")</f>
        <v/>
      </c>
    </row>
    <row r="303">
      <c r="U303" s="34">
        <f>IF(COUNT(D303:M303)=10,((D303-1)+(5-E303)+(F303-1)+(5-G303)+(H303-1)+(5-I303)+(J303-1)+(5-K303)+(L303-1)+(5-M303))*2.5,"")</f>
        <v/>
      </c>
    </row>
    <row r="304">
      <c r="U304" s="34">
        <f>IF(COUNT(D304:M304)=10,((D304-1)+(5-E304)+(F304-1)+(5-G304)+(H304-1)+(5-I304)+(J304-1)+(5-K304)+(L304-1)+(5-M304))*2.5,"")</f>
        <v/>
      </c>
    </row>
    <row r="305">
      <c r="U305" s="34">
        <f>IF(COUNT(D305:M305)=10,((D305-1)+(5-E305)+(F305-1)+(5-G305)+(H305-1)+(5-I305)+(J305-1)+(5-K305)+(L305-1)+(5-M305))*2.5,"")</f>
        <v/>
      </c>
    </row>
    <row r="306">
      <c r="U306" s="34">
        <f>IF(COUNT(D306:M306)=10,((D306-1)+(5-E306)+(F306-1)+(5-G306)+(H306-1)+(5-I306)+(J306-1)+(5-K306)+(L306-1)+(5-M306))*2.5,"")</f>
        <v/>
      </c>
    </row>
    <row r="307">
      <c r="U307" s="34">
        <f>IF(COUNT(D307:M307)=10,((D307-1)+(5-E307)+(F307-1)+(5-G307)+(H307-1)+(5-I307)+(J307-1)+(5-K307)+(L307-1)+(5-M307))*2.5,"")</f>
        <v/>
      </c>
    </row>
    <row r="308">
      <c r="U308" s="34">
        <f>IF(COUNT(D308:M308)=10,((D308-1)+(5-E308)+(F308-1)+(5-G308)+(H308-1)+(5-I308)+(J308-1)+(5-K308)+(L308-1)+(5-M308))*2.5,"")</f>
        <v/>
      </c>
    </row>
    <row r="309">
      <c r="U309" s="34">
        <f>IF(COUNT(D309:M309)=10,((D309-1)+(5-E309)+(F309-1)+(5-G309)+(H309-1)+(5-I309)+(J309-1)+(5-K309)+(L309-1)+(5-M309))*2.5,"")</f>
        <v/>
      </c>
    </row>
    <row r="310">
      <c r="U310" s="34">
        <f>IF(COUNT(D310:M310)=10,((D310-1)+(5-E310)+(F310-1)+(5-G310)+(H310-1)+(5-I310)+(J310-1)+(5-K310)+(L310-1)+(5-M310))*2.5,"")</f>
        <v/>
      </c>
    </row>
    <row r="311">
      <c r="U311" s="34">
        <f>IF(COUNT(D311:M311)=10,((D311-1)+(5-E311)+(F311-1)+(5-G311)+(H311-1)+(5-I311)+(J311-1)+(5-K311)+(L311-1)+(5-M311))*2.5,"")</f>
        <v/>
      </c>
    </row>
    <row r="312">
      <c r="U312" s="34">
        <f>IF(COUNT(D312:M312)=10,((D312-1)+(5-E312)+(F312-1)+(5-G312)+(H312-1)+(5-I312)+(J312-1)+(5-K312)+(L312-1)+(5-M312))*2.5,"")</f>
        <v/>
      </c>
    </row>
    <row r="313">
      <c r="U313" s="34">
        <f>IF(COUNT(D313:M313)=10,((D313-1)+(5-E313)+(F313-1)+(5-G313)+(H313-1)+(5-I313)+(J313-1)+(5-K313)+(L313-1)+(5-M313))*2.5,"")</f>
        <v/>
      </c>
    </row>
    <row r="314">
      <c r="U314" s="34">
        <f>IF(COUNT(D314:M314)=10,((D314-1)+(5-E314)+(F314-1)+(5-G314)+(H314-1)+(5-I314)+(J314-1)+(5-K314)+(L314-1)+(5-M314))*2.5,"")</f>
        <v/>
      </c>
    </row>
    <row r="315">
      <c r="U315" s="34">
        <f>IF(COUNT(D315:M315)=10,((D315-1)+(5-E315)+(F315-1)+(5-G315)+(H315-1)+(5-I315)+(J315-1)+(5-K315)+(L315-1)+(5-M315))*2.5,"")</f>
        <v/>
      </c>
    </row>
    <row r="316">
      <c r="U316" s="34">
        <f>IF(COUNT(D316:M316)=10,((D316-1)+(5-E316)+(F316-1)+(5-G316)+(H316-1)+(5-I316)+(J316-1)+(5-K316)+(L316-1)+(5-M316))*2.5,"")</f>
        <v/>
      </c>
    </row>
    <row r="317">
      <c r="U317" s="34">
        <f>IF(COUNT(D317:M317)=10,((D317-1)+(5-E317)+(F317-1)+(5-G317)+(H317-1)+(5-I317)+(J317-1)+(5-K317)+(L317-1)+(5-M317))*2.5,"")</f>
        <v/>
      </c>
    </row>
    <row r="318">
      <c r="U318" s="34">
        <f>IF(COUNT(D318:M318)=10,((D318-1)+(5-E318)+(F318-1)+(5-G318)+(H318-1)+(5-I318)+(J318-1)+(5-K318)+(L318-1)+(5-M318))*2.5,"")</f>
        <v/>
      </c>
    </row>
    <row r="319">
      <c r="U319" s="34">
        <f>IF(COUNT(D319:M319)=10,((D319-1)+(5-E319)+(F319-1)+(5-G319)+(H319-1)+(5-I319)+(J319-1)+(5-K319)+(L319-1)+(5-M319))*2.5,"")</f>
        <v/>
      </c>
    </row>
    <row r="320">
      <c r="U320" s="34">
        <f>IF(COUNT(D320:M320)=10,((D320-1)+(5-E320)+(F320-1)+(5-G320)+(H320-1)+(5-I320)+(J320-1)+(5-K320)+(L320-1)+(5-M320))*2.5,"")</f>
        <v/>
      </c>
    </row>
    <row r="321">
      <c r="U321" s="34">
        <f>IF(COUNT(D321:M321)=10,((D321-1)+(5-E321)+(F321-1)+(5-G321)+(H321-1)+(5-I321)+(J321-1)+(5-K321)+(L321-1)+(5-M321))*2.5,"")</f>
        <v/>
      </c>
    </row>
    <row r="322">
      <c r="U322" s="34">
        <f>IF(COUNT(D322:M322)=10,((D322-1)+(5-E322)+(F322-1)+(5-G322)+(H322-1)+(5-I322)+(J322-1)+(5-K322)+(L322-1)+(5-M322))*2.5,"")</f>
        <v/>
      </c>
    </row>
    <row r="323">
      <c r="U323" s="34">
        <f>IF(COUNT(D323:M323)=10,((D323-1)+(5-E323)+(F323-1)+(5-G323)+(H323-1)+(5-I323)+(J323-1)+(5-K323)+(L323-1)+(5-M323))*2.5,"")</f>
        <v/>
      </c>
    </row>
    <row r="324">
      <c r="U324" s="34">
        <f>IF(COUNT(D324:M324)=10,((D324-1)+(5-E324)+(F324-1)+(5-G324)+(H324-1)+(5-I324)+(J324-1)+(5-K324)+(L324-1)+(5-M324))*2.5,"")</f>
        <v/>
      </c>
    </row>
    <row r="325">
      <c r="U325" s="34">
        <f>IF(COUNT(D325:M325)=10,((D325-1)+(5-E325)+(F325-1)+(5-G325)+(H325-1)+(5-I325)+(J325-1)+(5-K325)+(L325-1)+(5-M325))*2.5,"")</f>
        <v/>
      </c>
    </row>
    <row r="326">
      <c r="U326" s="34">
        <f>IF(COUNT(D326:M326)=10,((D326-1)+(5-E326)+(F326-1)+(5-G326)+(H326-1)+(5-I326)+(J326-1)+(5-K326)+(L326-1)+(5-M326))*2.5,"")</f>
        <v/>
      </c>
    </row>
    <row r="327">
      <c r="U327" s="34">
        <f>IF(COUNT(D327:M327)=10,((D327-1)+(5-E327)+(F327-1)+(5-G327)+(H327-1)+(5-I327)+(J327-1)+(5-K327)+(L327-1)+(5-M327))*2.5,"")</f>
        <v/>
      </c>
    </row>
    <row r="328">
      <c r="U328" s="34">
        <f>IF(COUNT(D328:M328)=10,((D328-1)+(5-E328)+(F328-1)+(5-G328)+(H328-1)+(5-I328)+(J328-1)+(5-K328)+(L328-1)+(5-M328))*2.5,"")</f>
        <v/>
      </c>
    </row>
    <row r="329">
      <c r="U329" s="34">
        <f>IF(COUNT(D329:M329)=10,((D329-1)+(5-E329)+(F329-1)+(5-G329)+(H329-1)+(5-I329)+(J329-1)+(5-K329)+(L329-1)+(5-M329))*2.5,"")</f>
        <v/>
      </c>
    </row>
    <row r="330">
      <c r="U330" s="34">
        <f>IF(COUNT(D330:M330)=10,((D330-1)+(5-E330)+(F330-1)+(5-G330)+(H330-1)+(5-I330)+(J330-1)+(5-K330)+(L330-1)+(5-M330))*2.5,"")</f>
        <v/>
      </c>
    </row>
    <row r="331">
      <c r="U331" s="34">
        <f>IF(COUNT(D331:M331)=10,((D331-1)+(5-E331)+(F331-1)+(5-G331)+(H331-1)+(5-I331)+(J331-1)+(5-K331)+(L331-1)+(5-M331))*2.5,"")</f>
        <v/>
      </c>
    </row>
    <row r="332">
      <c r="U332" s="34">
        <f>IF(COUNT(D332:M332)=10,((D332-1)+(5-E332)+(F332-1)+(5-G332)+(H332-1)+(5-I332)+(J332-1)+(5-K332)+(L332-1)+(5-M332))*2.5,"")</f>
        <v/>
      </c>
    </row>
    <row r="333">
      <c r="U333" s="34">
        <f>IF(COUNT(D333:M333)=10,((D333-1)+(5-E333)+(F333-1)+(5-G333)+(H333-1)+(5-I333)+(J333-1)+(5-K333)+(L333-1)+(5-M333))*2.5,"")</f>
        <v/>
      </c>
    </row>
    <row r="334">
      <c r="U334" s="34">
        <f>IF(COUNT(D334:M334)=10,((D334-1)+(5-E334)+(F334-1)+(5-G334)+(H334-1)+(5-I334)+(J334-1)+(5-K334)+(L334-1)+(5-M334))*2.5,"")</f>
        <v/>
      </c>
    </row>
    <row r="335">
      <c r="U335" s="34">
        <f>IF(COUNT(D335:M335)=10,((D335-1)+(5-E335)+(F335-1)+(5-G335)+(H335-1)+(5-I335)+(J335-1)+(5-K335)+(L335-1)+(5-M335))*2.5,"")</f>
        <v/>
      </c>
    </row>
    <row r="336">
      <c r="U336" s="34">
        <f>IF(COUNT(D336:M336)=10,((D336-1)+(5-E336)+(F336-1)+(5-G336)+(H336-1)+(5-I336)+(J336-1)+(5-K336)+(L336-1)+(5-M336))*2.5,"")</f>
        <v/>
      </c>
    </row>
    <row r="337">
      <c r="U337" s="34">
        <f>IF(COUNT(D337:M337)=10,((D337-1)+(5-E337)+(F337-1)+(5-G337)+(H337-1)+(5-I337)+(J337-1)+(5-K337)+(L337-1)+(5-M337))*2.5,"")</f>
        <v/>
      </c>
    </row>
    <row r="338">
      <c r="U338" s="34">
        <f>IF(COUNT(D338:M338)=10,((D338-1)+(5-E338)+(F338-1)+(5-G338)+(H338-1)+(5-I338)+(J338-1)+(5-K338)+(L338-1)+(5-M338))*2.5,"")</f>
        <v/>
      </c>
    </row>
    <row r="339">
      <c r="U339" s="34">
        <f>IF(COUNT(D339:M339)=10,((D339-1)+(5-E339)+(F339-1)+(5-G339)+(H339-1)+(5-I339)+(J339-1)+(5-K339)+(L339-1)+(5-M339))*2.5,"")</f>
        <v/>
      </c>
    </row>
    <row r="340">
      <c r="U340" s="34">
        <f>IF(COUNT(D340:M340)=10,((D340-1)+(5-E340)+(F340-1)+(5-G340)+(H340-1)+(5-I340)+(J340-1)+(5-K340)+(L340-1)+(5-M340))*2.5,"")</f>
        <v/>
      </c>
    </row>
    <row r="341">
      <c r="U341" s="34">
        <f>IF(COUNT(D341:M341)=10,((D341-1)+(5-E341)+(F341-1)+(5-G341)+(H341-1)+(5-I341)+(J341-1)+(5-K341)+(L341-1)+(5-M341))*2.5,"")</f>
        <v/>
      </c>
    </row>
    <row r="342">
      <c r="U342" s="34">
        <f>IF(COUNT(D342:M342)=10,((D342-1)+(5-E342)+(F342-1)+(5-G342)+(H342-1)+(5-I342)+(J342-1)+(5-K342)+(L342-1)+(5-M342))*2.5,"")</f>
        <v/>
      </c>
    </row>
    <row r="343">
      <c r="U343" s="34">
        <f>IF(COUNT(D343:M343)=10,((D343-1)+(5-E343)+(F343-1)+(5-G343)+(H343-1)+(5-I343)+(J343-1)+(5-K343)+(L343-1)+(5-M343))*2.5,"")</f>
        <v/>
      </c>
    </row>
    <row r="344">
      <c r="U344" s="34">
        <f>IF(COUNT(D344:M344)=10,((D344-1)+(5-E344)+(F344-1)+(5-G344)+(H344-1)+(5-I344)+(J344-1)+(5-K344)+(L344-1)+(5-M344))*2.5,"")</f>
        <v/>
      </c>
    </row>
    <row r="345">
      <c r="U345" s="34">
        <f>IF(COUNT(D345:M345)=10,((D345-1)+(5-E345)+(F345-1)+(5-G345)+(H345-1)+(5-I345)+(J345-1)+(5-K345)+(L345-1)+(5-M345))*2.5,"")</f>
        <v/>
      </c>
    </row>
    <row r="346">
      <c r="U346" s="34">
        <f>IF(COUNT(D346:M346)=10,((D346-1)+(5-E346)+(F346-1)+(5-G346)+(H346-1)+(5-I346)+(J346-1)+(5-K346)+(L346-1)+(5-M346))*2.5,"")</f>
        <v/>
      </c>
    </row>
    <row r="347">
      <c r="U347" s="34">
        <f>IF(COUNT(D347:M347)=10,((D347-1)+(5-E347)+(F347-1)+(5-G347)+(H347-1)+(5-I347)+(J347-1)+(5-K347)+(L347-1)+(5-M347))*2.5,"")</f>
        <v/>
      </c>
    </row>
    <row r="348">
      <c r="U348" s="34">
        <f>IF(COUNT(D348:M348)=10,((D348-1)+(5-E348)+(F348-1)+(5-G348)+(H348-1)+(5-I348)+(J348-1)+(5-K348)+(L348-1)+(5-M348))*2.5,"")</f>
        <v/>
      </c>
    </row>
    <row r="349">
      <c r="U349" s="34">
        <f>IF(COUNT(D349:M349)=10,((D349-1)+(5-E349)+(F349-1)+(5-G349)+(H349-1)+(5-I349)+(J349-1)+(5-K349)+(L349-1)+(5-M349))*2.5,"")</f>
        <v/>
      </c>
    </row>
    <row r="350">
      <c r="U350" s="34">
        <f>IF(COUNT(D350:M350)=10,((D350-1)+(5-E350)+(F350-1)+(5-G350)+(H350-1)+(5-I350)+(J350-1)+(5-K350)+(L350-1)+(5-M350))*2.5,"")</f>
        <v/>
      </c>
    </row>
    <row r="351">
      <c r="U351" s="34">
        <f>IF(COUNT(D351:M351)=10,((D351-1)+(5-E351)+(F351-1)+(5-G351)+(H351-1)+(5-I351)+(J351-1)+(5-K351)+(L351-1)+(5-M351))*2.5,"")</f>
        <v/>
      </c>
    </row>
    <row r="352">
      <c r="U352" s="34">
        <f>IF(COUNT(D352:M352)=10,((D352-1)+(5-E352)+(F352-1)+(5-G352)+(H352-1)+(5-I352)+(J352-1)+(5-K352)+(L352-1)+(5-M352))*2.5,"")</f>
        <v/>
      </c>
    </row>
    <row r="353">
      <c r="U353" s="34">
        <f>IF(COUNT(D353:M353)=10,((D353-1)+(5-E353)+(F353-1)+(5-G353)+(H353-1)+(5-I353)+(J353-1)+(5-K353)+(L353-1)+(5-M353))*2.5,"")</f>
        <v/>
      </c>
    </row>
    <row r="354">
      <c r="U354" s="34">
        <f>IF(COUNT(D354:M354)=10,((D354-1)+(5-E354)+(F354-1)+(5-G354)+(H354-1)+(5-I354)+(J354-1)+(5-K354)+(L354-1)+(5-M354))*2.5,"")</f>
        <v/>
      </c>
    </row>
    <row r="355">
      <c r="U355" s="34">
        <f>IF(COUNT(D355:M355)=10,((D355-1)+(5-E355)+(F355-1)+(5-G355)+(H355-1)+(5-I355)+(J355-1)+(5-K355)+(L355-1)+(5-M355))*2.5,"")</f>
        <v/>
      </c>
    </row>
    <row r="356">
      <c r="U356" s="34">
        <f>IF(COUNT(D356:M356)=10,((D356-1)+(5-E356)+(F356-1)+(5-G356)+(H356-1)+(5-I356)+(J356-1)+(5-K356)+(L356-1)+(5-M356))*2.5,"")</f>
        <v/>
      </c>
    </row>
    <row r="357">
      <c r="U357" s="34">
        <f>IF(COUNT(D357:M357)=10,((D357-1)+(5-E357)+(F357-1)+(5-G357)+(H357-1)+(5-I357)+(J357-1)+(5-K357)+(L357-1)+(5-M357))*2.5,"")</f>
        <v/>
      </c>
    </row>
    <row r="358">
      <c r="U358" s="34">
        <f>IF(COUNT(D358:M358)=10,((D358-1)+(5-E358)+(F358-1)+(5-G358)+(H358-1)+(5-I358)+(J358-1)+(5-K358)+(L358-1)+(5-M358))*2.5,"")</f>
        <v/>
      </c>
    </row>
    <row r="359">
      <c r="U359" s="34">
        <f>IF(COUNT(D359:M359)=10,((D359-1)+(5-E359)+(F359-1)+(5-G359)+(H359-1)+(5-I359)+(J359-1)+(5-K359)+(L359-1)+(5-M359))*2.5,"")</f>
        <v/>
      </c>
    </row>
    <row r="360">
      <c r="U360" s="34">
        <f>IF(COUNT(D360:M360)=10,((D360-1)+(5-E360)+(F360-1)+(5-G360)+(H360-1)+(5-I360)+(J360-1)+(5-K360)+(L360-1)+(5-M360))*2.5,"")</f>
        <v/>
      </c>
    </row>
    <row r="361">
      <c r="U361" s="34">
        <f>IF(COUNT(D361:M361)=10,((D361-1)+(5-E361)+(F361-1)+(5-G361)+(H361-1)+(5-I361)+(J361-1)+(5-K361)+(L361-1)+(5-M361))*2.5,"")</f>
        <v/>
      </c>
    </row>
    <row r="362">
      <c r="U362" s="34">
        <f>IF(COUNT(D362:M362)=10,((D362-1)+(5-E362)+(F362-1)+(5-G362)+(H362-1)+(5-I362)+(J362-1)+(5-K362)+(L362-1)+(5-M362))*2.5,"")</f>
        <v/>
      </c>
    </row>
    <row r="363">
      <c r="U363" s="34">
        <f>IF(COUNT(D363:M363)=10,((D363-1)+(5-E363)+(F363-1)+(5-G363)+(H363-1)+(5-I363)+(J363-1)+(5-K363)+(L363-1)+(5-M363))*2.5,"")</f>
        <v/>
      </c>
    </row>
    <row r="364">
      <c r="U364" s="34">
        <f>IF(COUNT(D364:M364)=10,((D364-1)+(5-E364)+(F364-1)+(5-G364)+(H364-1)+(5-I364)+(J364-1)+(5-K364)+(L364-1)+(5-M364))*2.5,"")</f>
        <v/>
      </c>
    </row>
    <row r="365">
      <c r="U365" s="34">
        <f>IF(COUNT(D365:M365)=10,((D365-1)+(5-E365)+(F365-1)+(5-G365)+(H365-1)+(5-I365)+(J365-1)+(5-K365)+(L365-1)+(5-M365))*2.5,"")</f>
        <v/>
      </c>
    </row>
    <row r="366">
      <c r="U366" s="34">
        <f>IF(COUNT(D366:M366)=10,((D366-1)+(5-E366)+(F366-1)+(5-G366)+(H366-1)+(5-I366)+(J366-1)+(5-K366)+(L366-1)+(5-M366))*2.5,"")</f>
        <v/>
      </c>
    </row>
    <row r="367">
      <c r="U367" s="34">
        <f>IF(COUNT(D367:M367)=10,((D367-1)+(5-E367)+(F367-1)+(5-G367)+(H367-1)+(5-I367)+(J367-1)+(5-K367)+(L367-1)+(5-M367))*2.5,"")</f>
        <v/>
      </c>
    </row>
    <row r="368">
      <c r="U368" s="34">
        <f>IF(COUNT(D368:M368)=10,((D368-1)+(5-E368)+(F368-1)+(5-G368)+(H368-1)+(5-I368)+(J368-1)+(5-K368)+(L368-1)+(5-M368))*2.5,"")</f>
        <v/>
      </c>
    </row>
    <row r="369">
      <c r="U369" s="34">
        <f>IF(COUNT(D369:M369)=10,((D369-1)+(5-E369)+(F369-1)+(5-G369)+(H369-1)+(5-I369)+(J369-1)+(5-K369)+(L369-1)+(5-M369))*2.5,"")</f>
        <v/>
      </c>
    </row>
    <row r="370">
      <c r="U370" s="34">
        <f>IF(COUNT(D370:M370)=10,((D370-1)+(5-E370)+(F370-1)+(5-G370)+(H370-1)+(5-I370)+(J370-1)+(5-K370)+(L370-1)+(5-M370))*2.5,"")</f>
        <v/>
      </c>
    </row>
    <row r="371">
      <c r="U371" s="34">
        <f>IF(COUNT(D371:M371)=10,((D371-1)+(5-E371)+(F371-1)+(5-G371)+(H371-1)+(5-I371)+(J371-1)+(5-K371)+(L371-1)+(5-M371))*2.5,"")</f>
        <v/>
      </c>
    </row>
    <row r="372">
      <c r="U372" s="34">
        <f>IF(COUNT(D372:M372)=10,((D372-1)+(5-E372)+(F372-1)+(5-G372)+(H372-1)+(5-I372)+(J372-1)+(5-K372)+(L372-1)+(5-M372))*2.5,"")</f>
        <v/>
      </c>
    </row>
    <row r="373">
      <c r="U373" s="34">
        <f>IF(COUNT(D373:M373)=10,((D373-1)+(5-E373)+(F373-1)+(5-G373)+(H373-1)+(5-I373)+(J373-1)+(5-K373)+(L373-1)+(5-M373))*2.5,"")</f>
        <v/>
      </c>
    </row>
    <row r="374">
      <c r="U374" s="34">
        <f>IF(COUNT(D374:M374)=10,((D374-1)+(5-E374)+(F374-1)+(5-G374)+(H374-1)+(5-I374)+(J374-1)+(5-K374)+(L374-1)+(5-M374))*2.5,"")</f>
        <v/>
      </c>
    </row>
    <row r="375">
      <c r="U375" s="34">
        <f>IF(COUNT(D375:M375)=10,((D375-1)+(5-E375)+(F375-1)+(5-G375)+(H375-1)+(5-I375)+(J375-1)+(5-K375)+(L375-1)+(5-M375))*2.5,"")</f>
        <v/>
      </c>
    </row>
    <row r="376">
      <c r="U376" s="34">
        <f>IF(COUNT(D376:M376)=10,((D376-1)+(5-E376)+(F376-1)+(5-G376)+(H376-1)+(5-I376)+(J376-1)+(5-K376)+(L376-1)+(5-M376))*2.5,"")</f>
        <v/>
      </c>
    </row>
    <row r="377">
      <c r="U377" s="34">
        <f>IF(COUNT(D377:M377)=10,((D377-1)+(5-E377)+(F377-1)+(5-G377)+(H377-1)+(5-I377)+(J377-1)+(5-K377)+(L377-1)+(5-M377))*2.5,"")</f>
        <v/>
      </c>
    </row>
    <row r="378">
      <c r="U378" s="34">
        <f>IF(COUNT(D378:M378)=10,((D378-1)+(5-E378)+(F378-1)+(5-G378)+(H378-1)+(5-I378)+(J378-1)+(5-K378)+(L378-1)+(5-M378))*2.5,"")</f>
        <v/>
      </c>
    </row>
    <row r="379">
      <c r="U379" s="34">
        <f>IF(COUNT(D379:M379)=10,((D379-1)+(5-E379)+(F379-1)+(5-G379)+(H379-1)+(5-I379)+(J379-1)+(5-K379)+(L379-1)+(5-M379))*2.5,"")</f>
        <v/>
      </c>
    </row>
    <row r="380">
      <c r="U380" s="34">
        <f>IF(COUNT(D380:M380)=10,((D380-1)+(5-E380)+(F380-1)+(5-G380)+(H380-1)+(5-I380)+(J380-1)+(5-K380)+(L380-1)+(5-M380))*2.5,"")</f>
        <v/>
      </c>
    </row>
    <row r="381">
      <c r="U381" s="34">
        <f>IF(COUNT(D381:M381)=10,((D381-1)+(5-E381)+(F381-1)+(5-G381)+(H381-1)+(5-I381)+(J381-1)+(5-K381)+(L381-1)+(5-M381))*2.5,"")</f>
        <v/>
      </c>
    </row>
    <row r="382">
      <c r="U382" s="34">
        <f>IF(COUNT(D382:M382)=10,((D382-1)+(5-E382)+(F382-1)+(5-G382)+(H382-1)+(5-I382)+(J382-1)+(5-K382)+(L382-1)+(5-M382))*2.5,"")</f>
        <v/>
      </c>
    </row>
    <row r="383">
      <c r="U383" s="34">
        <f>IF(COUNT(D383:M383)=10,((D383-1)+(5-E383)+(F383-1)+(5-G383)+(H383-1)+(5-I383)+(J383-1)+(5-K383)+(L383-1)+(5-M383))*2.5,"")</f>
        <v/>
      </c>
    </row>
    <row r="384">
      <c r="U384" s="34">
        <f>IF(COUNT(D384:M384)=10,((D384-1)+(5-E384)+(F384-1)+(5-G384)+(H384-1)+(5-I384)+(J384-1)+(5-K384)+(L384-1)+(5-M384))*2.5,"")</f>
        <v/>
      </c>
    </row>
    <row r="385">
      <c r="U385" s="34">
        <f>IF(COUNT(D385:M385)=10,((D385-1)+(5-E385)+(F385-1)+(5-G385)+(H385-1)+(5-I385)+(J385-1)+(5-K385)+(L385-1)+(5-M385))*2.5,"")</f>
        <v/>
      </c>
    </row>
    <row r="386">
      <c r="U386" s="34">
        <f>IF(COUNT(D386:M386)=10,((D386-1)+(5-E386)+(F386-1)+(5-G386)+(H386-1)+(5-I386)+(J386-1)+(5-K386)+(L386-1)+(5-M386))*2.5,"")</f>
        <v/>
      </c>
    </row>
    <row r="387">
      <c r="U387" s="34">
        <f>IF(COUNT(D387:M387)=10,((D387-1)+(5-E387)+(F387-1)+(5-G387)+(H387-1)+(5-I387)+(J387-1)+(5-K387)+(L387-1)+(5-M387))*2.5,"")</f>
        <v/>
      </c>
    </row>
    <row r="388">
      <c r="U388" s="34">
        <f>IF(COUNT(D388:M388)=10,((D388-1)+(5-E388)+(F388-1)+(5-G388)+(H388-1)+(5-I388)+(J388-1)+(5-K388)+(L388-1)+(5-M388))*2.5,"")</f>
        <v/>
      </c>
    </row>
    <row r="389">
      <c r="U389" s="34">
        <f>IF(COUNT(D389:M389)=10,((D389-1)+(5-E389)+(F389-1)+(5-G389)+(H389-1)+(5-I389)+(J389-1)+(5-K389)+(L389-1)+(5-M389))*2.5,"")</f>
        <v/>
      </c>
    </row>
    <row r="390">
      <c r="U390" s="34">
        <f>IF(COUNT(D390:M390)=10,((D390-1)+(5-E390)+(F390-1)+(5-G390)+(H390-1)+(5-I390)+(J390-1)+(5-K390)+(L390-1)+(5-M390))*2.5,"")</f>
        <v/>
      </c>
    </row>
    <row r="391">
      <c r="U391" s="34">
        <f>IF(COUNT(D391:M391)=10,((D391-1)+(5-E391)+(F391-1)+(5-G391)+(H391-1)+(5-I391)+(J391-1)+(5-K391)+(L391-1)+(5-M391))*2.5,"")</f>
        <v/>
      </c>
    </row>
    <row r="392">
      <c r="U392" s="34">
        <f>IF(COUNT(D392:M392)=10,((D392-1)+(5-E392)+(F392-1)+(5-G392)+(H392-1)+(5-I392)+(J392-1)+(5-K392)+(L392-1)+(5-M392))*2.5,"")</f>
        <v/>
      </c>
    </row>
    <row r="393">
      <c r="U393" s="34">
        <f>IF(COUNT(D393:M393)=10,((D393-1)+(5-E393)+(F393-1)+(5-G393)+(H393-1)+(5-I393)+(J393-1)+(5-K393)+(L393-1)+(5-M393))*2.5,"")</f>
        <v/>
      </c>
    </row>
    <row r="394">
      <c r="U394" s="34">
        <f>IF(COUNT(D394:M394)=10,((D394-1)+(5-E394)+(F394-1)+(5-G394)+(H394-1)+(5-I394)+(J394-1)+(5-K394)+(L394-1)+(5-M394))*2.5,"")</f>
        <v/>
      </c>
    </row>
    <row r="395">
      <c r="U395" s="34">
        <f>IF(COUNT(D395:M395)=10,((D395-1)+(5-E395)+(F395-1)+(5-G395)+(H395-1)+(5-I395)+(J395-1)+(5-K395)+(L395-1)+(5-M395))*2.5,"")</f>
        <v/>
      </c>
    </row>
    <row r="396">
      <c r="U396" s="34">
        <f>IF(COUNT(D396:M396)=10,((D396-1)+(5-E396)+(F396-1)+(5-G396)+(H396-1)+(5-I396)+(J396-1)+(5-K396)+(L396-1)+(5-M396))*2.5,"")</f>
        <v/>
      </c>
    </row>
    <row r="397">
      <c r="U397" s="34">
        <f>IF(COUNT(D397:M397)=10,((D397-1)+(5-E397)+(F397-1)+(5-G397)+(H397-1)+(5-I397)+(J397-1)+(5-K397)+(L397-1)+(5-M397))*2.5,"")</f>
        <v/>
      </c>
    </row>
    <row r="398">
      <c r="U398" s="34">
        <f>IF(COUNT(D398:M398)=10,((D398-1)+(5-E398)+(F398-1)+(5-G398)+(H398-1)+(5-I398)+(J398-1)+(5-K398)+(L398-1)+(5-M398))*2.5,"")</f>
        <v/>
      </c>
    </row>
    <row r="399">
      <c r="U399" s="34">
        <f>IF(COUNT(D399:M399)=10,((D399-1)+(5-E399)+(F399-1)+(5-G399)+(H399-1)+(5-I399)+(J399-1)+(5-K399)+(L399-1)+(5-M399))*2.5,"")</f>
        <v/>
      </c>
    </row>
    <row r="400">
      <c r="U400" s="34">
        <f>IF(COUNT(D400:M400)=10,((D400-1)+(5-E400)+(F400-1)+(5-G400)+(H400-1)+(5-I400)+(J400-1)+(5-K400)+(L400-1)+(5-M400))*2.5,"")</f>
        <v/>
      </c>
    </row>
    <row r="401">
      <c r="U401" s="34">
        <f>IF(COUNT(D401:M401)=10,((D401-1)+(5-E401)+(F401-1)+(5-G401)+(H401-1)+(5-I401)+(J401-1)+(5-K401)+(L401-1)+(5-M401))*2.5,"")</f>
        <v/>
      </c>
    </row>
    <row r="402">
      <c r="U402" s="34">
        <f>IF(COUNT(D402:M402)=10,((D402-1)+(5-E402)+(F402-1)+(5-G402)+(H402-1)+(5-I402)+(J402-1)+(5-K402)+(L402-1)+(5-M402))*2.5,"")</f>
        <v/>
      </c>
    </row>
    <row r="403">
      <c r="U403" s="34">
        <f>IF(COUNT(D403:M403)=10,((D403-1)+(5-E403)+(F403-1)+(5-G403)+(H403-1)+(5-I403)+(J403-1)+(5-K403)+(L403-1)+(5-M403))*2.5,"")</f>
        <v/>
      </c>
    </row>
    <row r="404">
      <c r="U404" s="34">
        <f>IF(COUNT(D404:M404)=10,((D404-1)+(5-E404)+(F404-1)+(5-G404)+(H404-1)+(5-I404)+(J404-1)+(5-K404)+(L404-1)+(5-M404))*2.5,"")</f>
        <v/>
      </c>
    </row>
    <row r="405">
      <c r="U405" s="34">
        <f>IF(COUNT(D405:M405)=10,((D405-1)+(5-E405)+(F405-1)+(5-G405)+(H405-1)+(5-I405)+(J405-1)+(5-K405)+(L405-1)+(5-M405))*2.5,"")</f>
        <v/>
      </c>
    </row>
    <row r="406">
      <c r="U406" s="34">
        <f>IF(COUNT(D406:M406)=10,((D406-1)+(5-E406)+(F406-1)+(5-G406)+(H406-1)+(5-I406)+(J406-1)+(5-K406)+(L406-1)+(5-M406))*2.5,"")</f>
        <v/>
      </c>
    </row>
    <row r="407">
      <c r="U407" s="34">
        <f>IF(COUNT(D407:M407)=10,((D407-1)+(5-E407)+(F407-1)+(5-G407)+(H407-1)+(5-I407)+(J407-1)+(5-K407)+(L407-1)+(5-M407))*2.5,"")</f>
        <v/>
      </c>
    </row>
    <row r="408">
      <c r="U408" s="34">
        <f>IF(COUNT(D408:M408)=10,((D408-1)+(5-E408)+(F408-1)+(5-G408)+(H408-1)+(5-I408)+(J408-1)+(5-K408)+(L408-1)+(5-M408))*2.5,"")</f>
        <v/>
      </c>
    </row>
    <row r="409">
      <c r="U409" s="34">
        <f>IF(COUNT(D409:M409)=10,((D409-1)+(5-E409)+(F409-1)+(5-G409)+(H409-1)+(5-I409)+(J409-1)+(5-K409)+(L409-1)+(5-M409))*2.5,"")</f>
        <v/>
      </c>
    </row>
    <row r="410">
      <c r="U410" s="34">
        <f>IF(COUNT(D410:M410)=10,((D410-1)+(5-E410)+(F410-1)+(5-G410)+(H410-1)+(5-I410)+(J410-1)+(5-K410)+(L410-1)+(5-M410))*2.5,"")</f>
        <v/>
      </c>
    </row>
    <row r="411">
      <c r="U411" s="34">
        <f>IF(COUNT(D411:M411)=10,((D411-1)+(5-E411)+(F411-1)+(5-G411)+(H411-1)+(5-I411)+(J411-1)+(5-K411)+(L411-1)+(5-M411))*2.5,"")</f>
        <v/>
      </c>
    </row>
    <row r="412">
      <c r="U412" s="34">
        <f>IF(COUNT(D412:M412)=10,((D412-1)+(5-E412)+(F412-1)+(5-G412)+(H412-1)+(5-I412)+(J412-1)+(5-K412)+(L412-1)+(5-M412))*2.5,"")</f>
        <v/>
      </c>
    </row>
    <row r="413">
      <c r="U413" s="34">
        <f>IF(COUNT(D413:M413)=10,((D413-1)+(5-E413)+(F413-1)+(5-G413)+(H413-1)+(5-I413)+(J413-1)+(5-K413)+(L413-1)+(5-M413))*2.5,"")</f>
        <v/>
      </c>
    </row>
    <row r="414">
      <c r="U414" s="34">
        <f>IF(COUNT(D414:M414)=10,((D414-1)+(5-E414)+(F414-1)+(5-G414)+(H414-1)+(5-I414)+(J414-1)+(5-K414)+(L414-1)+(5-M414))*2.5,"")</f>
        <v/>
      </c>
    </row>
    <row r="415">
      <c r="U415" s="34">
        <f>IF(COUNT(D415:M415)=10,((D415-1)+(5-E415)+(F415-1)+(5-G415)+(H415-1)+(5-I415)+(J415-1)+(5-K415)+(L415-1)+(5-M415))*2.5,"")</f>
        <v/>
      </c>
    </row>
    <row r="416">
      <c r="U416" s="34">
        <f>IF(COUNT(D416:M416)=10,((D416-1)+(5-E416)+(F416-1)+(5-G416)+(H416-1)+(5-I416)+(J416-1)+(5-K416)+(L416-1)+(5-M416))*2.5,"")</f>
        <v/>
      </c>
    </row>
    <row r="417">
      <c r="U417" s="34">
        <f>IF(COUNT(D417:M417)=10,((D417-1)+(5-E417)+(F417-1)+(5-G417)+(H417-1)+(5-I417)+(J417-1)+(5-K417)+(L417-1)+(5-M417))*2.5,"")</f>
        <v/>
      </c>
    </row>
    <row r="418">
      <c r="U418" s="34">
        <f>IF(COUNT(D418:M418)=10,((D418-1)+(5-E418)+(F418-1)+(5-G418)+(H418-1)+(5-I418)+(J418-1)+(5-K418)+(L418-1)+(5-M418))*2.5,"")</f>
        <v/>
      </c>
    </row>
    <row r="419">
      <c r="U419" s="34">
        <f>IF(COUNT(D419:M419)=10,((D419-1)+(5-E419)+(F419-1)+(5-G419)+(H419-1)+(5-I419)+(J419-1)+(5-K419)+(L419-1)+(5-M419))*2.5,"")</f>
        <v/>
      </c>
    </row>
    <row r="420">
      <c r="U420" s="34">
        <f>IF(COUNT(D420:M420)=10,((D420-1)+(5-E420)+(F420-1)+(5-G420)+(H420-1)+(5-I420)+(J420-1)+(5-K420)+(L420-1)+(5-M420))*2.5,"")</f>
        <v/>
      </c>
    </row>
    <row r="421">
      <c r="U421" s="34">
        <f>IF(COUNT(D421:M421)=10,((D421-1)+(5-E421)+(F421-1)+(5-G421)+(H421-1)+(5-I421)+(J421-1)+(5-K421)+(L421-1)+(5-M421))*2.5,"")</f>
        <v/>
      </c>
    </row>
    <row r="422">
      <c r="U422" s="34">
        <f>IF(COUNT(D422:M422)=10,((D422-1)+(5-E422)+(F422-1)+(5-G422)+(H422-1)+(5-I422)+(J422-1)+(5-K422)+(L422-1)+(5-M422))*2.5,"")</f>
        <v/>
      </c>
    </row>
    <row r="423">
      <c r="U423" s="34">
        <f>IF(COUNT(D423:M423)=10,((D423-1)+(5-E423)+(F423-1)+(5-G423)+(H423-1)+(5-I423)+(J423-1)+(5-K423)+(L423-1)+(5-M423))*2.5,"")</f>
        <v/>
      </c>
    </row>
    <row r="424">
      <c r="U424" s="34">
        <f>IF(COUNT(D424:M424)=10,((D424-1)+(5-E424)+(F424-1)+(5-G424)+(H424-1)+(5-I424)+(J424-1)+(5-K424)+(L424-1)+(5-M424))*2.5,"")</f>
        <v/>
      </c>
    </row>
    <row r="425">
      <c r="U425" s="34">
        <f>IF(COUNT(D425:M425)=10,((D425-1)+(5-E425)+(F425-1)+(5-G425)+(H425-1)+(5-I425)+(J425-1)+(5-K425)+(L425-1)+(5-M425))*2.5,"")</f>
        <v/>
      </c>
    </row>
    <row r="426">
      <c r="U426" s="34">
        <f>IF(COUNT(D426:M426)=10,((D426-1)+(5-E426)+(F426-1)+(5-G426)+(H426-1)+(5-I426)+(J426-1)+(5-K426)+(L426-1)+(5-M426))*2.5,"")</f>
        <v/>
      </c>
    </row>
    <row r="427">
      <c r="U427" s="34">
        <f>IF(COUNT(D427:M427)=10,((D427-1)+(5-E427)+(F427-1)+(5-G427)+(H427-1)+(5-I427)+(J427-1)+(5-K427)+(L427-1)+(5-M427))*2.5,"")</f>
        <v/>
      </c>
    </row>
    <row r="428">
      <c r="U428" s="34">
        <f>IF(COUNT(D428:M428)=10,((D428-1)+(5-E428)+(F428-1)+(5-G428)+(H428-1)+(5-I428)+(J428-1)+(5-K428)+(L428-1)+(5-M428))*2.5,"")</f>
        <v/>
      </c>
    </row>
    <row r="429">
      <c r="U429" s="34">
        <f>IF(COUNT(D429:M429)=10,((D429-1)+(5-E429)+(F429-1)+(5-G429)+(H429-1)+(5-I429)+(J429-1)+(5-K429)+(L429-1)+(5-M429))*2.5,"")</f>
        <v/>
      </c>
    </row>
    <row r="430">
      <c r="U430" s="34">
        <f>IF(COUNT(D430:M430)=10,((D430-1)+(5-E430)+(F430-1)+(5-G430)+(H430-1)+(5-I430)+(J430-1)+(5-K430)+(L430-1)+(5-M430))*2.5,"")</f>
        <v/>
      </c>
    </row>
    <row r="431">
      <c r="U431" s="34">
        <f>IF(COUNT(D431:M431)=10,((D431-1)+(5-E431)+(F431-1)+(5-G431)+(H431-1)+(5-I431)+(J431-1)+(5-K431)+(L431-1)+(5-M431))*2.5,"")</f>
        <v/>
      </c>
    </row>
    <row r="432">
      <c r="U432" s="34">
        <f>IF(COUNT(D432:M432)=10,((D432-1)+(5-E432)+(F432-1)+(5-G432)+(H432-1)+(5-I432)+(J432-1)+(5-K432)+(L432-1)+(5-M432))*2.5,"")</f>
        <v/>
      </c>
    </row>
    <row r="433">
      <c r="U433" s="34">
        <f>IF(COUNT(D433:M433)=10,((D433-1)+(5-E433)+(F433-1)+(5-G433)+(H433-1)+(5-I433)+(J433-1)+(5-K433)+(L433-1)+(5-M433))*2.5,"")</f>
        <v/>
      </c>
    </row>
    <row r="434">
      <c r="U434" s="34">
        <f>IF(COUNT(D434:M434)=10,((D434-1)+(5-E434)+(F434-1)+(5-G434)+(H434-1)+(5-I434)+(J434-1)+(5-K434)+(L434-1)+(5-M434))*2.5,"")</f>
        <v/>
      </c>
    </row>
    <row r="435">
      <c r="U435" s="34">
        <f>IF(COUNT(D435:M435)=10,((D435-1)+(5-E435)+(F435-1)+(5-G435)+(H435-1)+(5-I435)+(J435-1)+(5-K435)+(L435-1)+(5-M435))*2.5,"")</f>
        <v/>
      </c>
    </row>
    <row r="436">
      <c r="U436" s="34">
        <f>IF(COUNT(D436:M436)=10,((D436-1)+(5-E436)+(F436-1)+(5-G436)+(H436-1)+(5-I436)+(J436-1)+(5-K436)+(L436-1)+(5-M436))*2.5,"")</f>
        <v/>
      </c>
    </row>
    <row r="437">
      <c r="U437" s="34">
        <f>IF(COUNT(D437:M437)=10,((D437-1)+(5-E437)+(F437-1)+(5-G437)+(H437-1)+(5-I437)+(J437-1)+(5-K437)+(L437-1)+(5-M437))*2.5,"")</f>
        <v/>
      </c>
    </row>
    <row r="438">
      <c r="U438" s="34">
        <f>IF(COUNT(D438:M438)=10,((D438-1)+(5-E438)+(F438-1)+(5-G438)+(H438-1)+(5-I438)+(J438-1)+(5-K438)+(L438-1)+(5-M438))*2.5,"")</f>
        <v/>
      </c>
    </row>
    <row r="439">
      <c r="U439" s="34">
        <f>IF(COUNT(D439:M439)=10,((D439-1)+(5-E439)+(F439-1)+(5-G439)+(H439-1)+(5-I439)+(J439-1)+(5-K439)+(L439-1)+(5-M439))*2.5,"")</f>
        <v/>
      </c>
    </row>
    <row r="440">
      <c r="U440" s="34">
        <f>IF(COUNT(D440:M440)=10,((D440-1)+(5-E440)+(F440-1)+(5-G440)+(H440-1)+(5-I440)+(J440-1)+(5-K440)+(L440-1)+(5-M440))*2.5,"")</f>
        <v/>
      </c>
    </row>
    <row r="441">
      <c r="U441" s="34">
        <f>IF(COUNT(D441:M441)=10,((D441-1)+(5-E441)+(F441-1)+(5-G441)+(H441-1)+(5-I441)+(J441-1)+(5-K441)+(L441-1)+(5-M441))*2.5,"")</f>
        <v/>
      </c>
    </row>
    <row r="442">
      <c r="U442" s="34">
        <f>IF(COUNT(D442:M442)=10,((D442-1)+(5-E442)+(F442-1)+(5-G442)+(H442-1)+(5-I442)+(J442-1)+(5-K442)+(L442-1)+(5-M442))*2.5,"")</f>
        <v/>
      </c>
    </row>
    <row r="443">
      <c r="U443" s="34">
        <f>IF(COUNT(D443:M443)=10,((D443-1)+(5-E443)+(F443-1)+(5-G443)+(H443-1)+(5-I443)+(J443-1)+(5-K443)+(L443-1)+(5-M443))*2.5,"")</f>
        <v/>
      </c>
    </row>
    <row r="444">
      <c r="U444" s="34">
        <f>IF(COUNT(D444:M444)=10,((D444-1)+(5-E444)+(F444-1)+(5-G444)+(H444-1)+(5-I444)+(J444-1)+(5-K444)+(L444-1)+(5-M444))*2.5,"")</f>
        <v/>
      </c>
    </row>
    <row r="445">
      <c r="U445" s="34">
        <f>IF(COUNT(D445:M445)=10,((D445-1)+(5-E445)+(F445-1)+(5-G445)+(H445-1)+(5-I445)+(J445-1)+(5-K445)+(L445-1)+(5-M445))*2.5,"")</f>
        <v/>
      </c>
    </row>
    <row r="446">
      <c r="U446" s="34">
        <f>IF(COUNT(D446:M446)=10,((D446-1)+(5-E446)+(F446-1)+(5-G446)+(H446-1)+(5-I446)+(J446-1)+(5-K446)+(L446-1)+(5-M446))*2.5,"")</f>
        <v/>
      </c>
    </row>
    <row r="447">
      <c r="U447" s="34">
        <f>IF(COUNT(D447:M447)=10,((D447-1)+(5-E447)+(F447-1)+(5-G447)+(H447-1)+(5-I447)+(J447-1)+(5-K447)+(L447-1)+(5-M447))*2.5,"")</f>
        <v/>
      </c>
    </row>
    <row r="448">
      <c r="U448" s="34">
        <f>IF(COUNT(D448:M448)=10,((D448-1)+(5-E448)+(F448-1)+(5-G448)+(H448-1)+(5-I448)+(J448-1)+(5-K448)+(L448-1)+(5-M448))*2.5,"")</f>
        <v/>
      </c>
    </row>
    <row r="449">
      <c r="U449" s="34">
        <f>IF(COUNT(D449:M449)=10,((D449-1)+(5-E449)+(F449-1)+(5-G449)+(H449-1)+(5-I449)+(J449-1)+(5-K449)+(L449-1)+(5-M449))*2.5,"")</f>
        <v/>
      </c>
    </row>
    <row r="450">
      <c r="U450" s="34">
        <f>IF(COUNT(D450:M450)=10,((D450-1)+(5-E450)+(F450-1)+(5-G450)+(H450-1)+(5-I450)+(J450-1)+(5-K450)+(L450-1)+(5-M450))*2.5,"")</f>
        <v/>
      </c>
    </row>
    <row r="451">
      <c r="U451" s="34">
        <f>IF(COUNT(D451:M451)=10,((D451-1)+(5-E451)+(F451-1)+(5-G451)+(H451-1)+(5-I451)+(J451-1)+(5-K451)+(L451-1)+(5-M451))*2.5,"")</f>
        <v/>
      </c>
    </row>
    <row r="452">
      <c r="U452" s="34">
        <f>IF(COUNT(D452:M452)=10,((D452-1)+(5-E452)+(F452-1)+(5-G452)+(H452-1)+(5-I452)+(J452-1)+(5-K452)+(L452-1)+(5-M452))*2.5,"")</f>
        <v/>
      </c>
    </row>
    <row r="453">
      <c r="U453" s="34">
        <f>IF(COUNT(D453:M453)=10,((D453-1)+(5-E453)+(F453-1)+(5-G453)+(H453-1)+(5-I453)+(J453-1)+(5-K453)+(L453-1)+(5-M453))*2.5,"")</f>
        <v/>
      </c>
    </row>
    <row r="454">
      <c r="U454" s="34">
        <f>IF(COUNT(D454:M454)=10,((D454-1)+(5-E454)+(F454-1)+(5-G454)+(H454-1)+(5-I454)+(J454-1)+(5-K454)+(L454-1)+(5-M454))*2.5,"")</f>
        <v/>
      </c>
    </row>
    <row r="455">
      <c r="U455" s="34">
        <f>IF(COUNT(D455:M455)=10,((D455-1)+(5-E455)+(F455-1)+(5-G455)+(H455-1)+(5-I455)+(J455-1)+(5-K455)+(L455-1)+(5-M455))*2.5,"")</f>
        <v/>
      </c>
    </row>
    <row r="456">
      <c r="U456" s="34">
        <f>IF(COUNT(D456:M456)=10,((D456-1)+(5-E456)+(F456-1)+(5-G456)+(H456-1)+(5-I456)+(J456-1)+(5-K456)+(L456-1)+(5-M456))*2.5,"")</f>
        <v/>
      </c>
    </row>
    <row r="457">
      <c r="U457" s="34">
        <f>IF(COUNT(D457:M457)=10,((D457-1)+(5-E457)+(F457-1)+(5-G457)+(H457-1)+(5-I457)+(J457-1)+(5-K457)+(L457-1)+(5-M457))*2.5,"")</f>
        <v/>
      </c>
    </row>
    <row r="458">
      <c r="U458" s="34">
        <f>IF(COUNT(D458:M458)=10,((D458-1)+(5-E458)+(F458-1)+(5-G458)+(H458-1)+(5-I458)+(J458-1)+(5-K458)+(L458-1)+(5-M458))*2.5,"")</f>
        <v/>
      </c>
    </row>
    <row r="459">
      <c r="U459" s="34">
        <f>IF(COUNT(D459:M459)=10,((D459-1)+(5-E459)+(F459-1)+(5-G459)+(H459-1)+(5-I459)+(J459-1)+(5-K459)+(L459-1)+(5-M459))*2.5,"")</f>
        <v/>
      </c>
    </row>
    <row r="460">
      <c r="U460" s="34">
        <f>IF(COUNT(D460:M460)=10,((D460-1)+(5-E460)+(F460-1)+(5-G460)+(H460-1)+(5-I460)+(J460-1)+(5-K460)+(L460-1)+(5-M460))*2.5,"")</f>
        <v/>
      </c>
    </row>
    <row r="461">
      <c r="U461" s="34">
        <f>IF(COUNT(D461:M461)=10,((D461-1)+(5-E461)+(F461-1)+(5-G461)+(H461-1)+(5-I461)+(J461-1)+(5-K461)+(L461-1)+(5-M461))*2.5,"")</f>
        <v/>
      </c>
    </row>
    <row r="462">
      <c r="U462" s="34">
        <f>IF(COUNT(D462:M462)=10,((D462-1)+(5-E462)+(F462-1)+(5-G462)+(H462-1)+(5-I462)+(J462-1)+(5-K462)+(L462-1)+(5-M462))*2.5,"")</f>
        <v/>
      </c>
    </row>
    <row r="463">
      <c r="U463" s="34">
        <f>IF(COUNT(D463:M463)=10,((D463-1)+(5-E463)+(F463-1)+(5-G463)+(H463-1)+(5-I463)+(J463-1)+(5-K463)+(L463-1)+(5-M463))*2.5,"")</f>
        <v/>
      </c>
    </row>
    <row r="464">
      <c r="U464" s="34">
        <f>IF(COUNT(D464:M464)=10,((D464-1)+(5-E464)+(F464-1)+(5-G464)+(H464-1)+(5-I464)+(J464-1)+(5-K464)+(L464-1)+(5-M464))*2.5,"")</f>
        <v/>
      </c>
    </row>
    <row r="465">
      <c r="U465" s="34">
        <f>IF(COUNT(D465:M465)=10,((D465-1)+(5-E465)+(F465-1)+(5-G465)+(H465-1)+(5-I465)+(J465-1)+(5-K465)+(L465-1)+(5-M465))*2.5,"")</f>
        <v/>
      </c>
    </row>
    <row r="466">
      <c r="U466" s="34">
        <f>IF(COUNT(D466:M466)=10,((D466-1)+(5-E466)+(F466-1)+(5-G466)+(H466-1)+(5-I466)+(J466-1)+(5-K466)+(L466-1)+(5-M466))*2.5,"")</f>
        <v/>
      </c>
    </row>
    <row r="467">
      <c r="U467" s="34">
        <f>IF(COUNT(D467:M467)=10,((D467-1)+(5-E467)+(F467-1)+(5-G467)+(H467-1)+(5-I467)+(J467-1)+(5-K467)+(L467-1)+(5-M467))*2.5,"")</f>
        <v/>
      </c>
    </row>
    <row r="468">
      <c r="U468" s="34">
        <f>IF(COUNT(D468:M468)=10,((D468-1)+(5-E468)+(F468-1)+(5-G468)+(H468-1)+(5-I468)+(J468-1)+(5-K468)+(L468-1)+(5-M468))*2.5,"")</f>
        <v/>
      </c>
    </row>
    <row r="469">
      <c r="U469" s="34">
        <f>IF(COUNT(D469:M469)=10,((D469-1)+(5-E469)+(F469-1)+(5-G469)+(H469-1)+(5-I469)+(J469-1)+(5-K469)+(L469-1)+(5-M469))*2.5,"")</f>
        <v/>
      </c>
    </row>
    <row r="470">
      <c r="U470" s="34">
        <f>IF(COUNT(D470:M470)=10,((D470-1)+(5-E470)+(F470-1)+(5-G470)+(H470-1)+(5-I470)+(J470-1)+(5-K470)+(L470-1)+(5-M470))*2.5,"")</f>
        <v/>
      </c>
    </row>
    <row r="471">
      <c r="U471" s="34">
        <f>IF(COUNT(D471:M471)=10,((D471-1)+(5-E471)+(F471-1)+(5-G471)+(H471-1)+(5-I471)+(J471-1)+(5-K471)+(L471-1)+(5-M471))*2.5,"")</f>
        <v/>
      </c>
    </row>
    <row r="472">
      <c r="U472" s="34">
        <f>IF(COUNT(D472:M472)=10,((D472-1)+(5-E472)+(F472-1)+(5-G472)+(H472-1)+(5-I472)+(J472-1)+(5-K472)+(L472-1)+(5-M472))*2.5,"")</f>
        <v/>
      </c>
    </row>
    <row r="473">
      <c r="U473" s="34">
        <f>IF(COUNT(D473:M473)=10,((D473-1)+(5-E473)+(F473-1)+(5-G473)+(H473-1)+(5-I473)+(J473-1)+(5-K473)+(L473-1)+(5-M473))*2.5,"")</f>
        <v/>
      </c>
    </row>
    <row r="474">
      <c r="U474" s="34">
        <f>IF(COUNT(D474:M474)=10,((D474-1)+(5-E474)+(F474-1)+(5-G474)+(H474-1)+(5-I474)+(J474-1)+(5-K474)+(L474-1)+(5-M474))*2.5,"")</f>
        <v/>
      </c>
    </row>
    <row r="475">
      <c r="U475" s="34">
        <f>IF(COUNT(D475:M475)=10,((D475-1)+(5-E475)+(F475-1)+(5-G475)+(H475-1)+(5-I475)+(J475-1)+(5-K475)+(L475-1)+(5-M475))*2.5,"")</f>
        <v/>
      </c>
    </row>
    <row r="476">
      <c r="U476" s="34">
        <f>IF(COUNT(D476:M476)=10,((D476-1)+(5-E476)+(F476-1)+(5-G476)+(H476-1)+(5-I476)+(J476-1)+(5-K476)+(L476-1)+(5-M476))*2.5,"")</f>
        <v/>
      </c>
    </row>
    <row r="477">
      <c r="U477" s="34">
        <f>IF(COUNT(D477:M477)=10,((D477-1)+(5-E477)+(F477-1)+(5-G477)+(H477-1)+(5-I477)+(J477-1)+(5-K477)+(L477-1)+(5-M477))*2.5,"")</f>
        <v/>
      </c>
    </row>
    <row r="478">
      <c r="U478" s="34">
        <f>IF(COUNT(D478:M478)=10,((D478-1)+(5-E478)+(F478-1)+(5-G478)+(H478-1)+(5-I478)+(J478-1)+(5-K478)+(L478-1)+(5-M478))*2.5,"")</f>
        <v/>
      </c>
    </row>
    <row r="479">
      <c r="U479" s="34">
        <f>IF(COUNT(D479:M479)=10,((D479-1)+(5-E479)+(F479-1)+(5-G479)+(H479-1)+(5-I479)+(J479-1)+(5-K479)+(L479-1)+(5-M479))*2.5,"")</f>
        <v/>
      </c>
    </row>
    <row r="480">
      <c r="U480" s="34">
        <f>IF(COUNT(D480:M480)=10,((D480-1)+(5-E480)+(F480-1)+(5-G480)+(H480-1)+(5-I480)+(J480-1)+(5-K480)+(L480-1)+(5-M480))*2.5,"")</f>
        <v/>
      </c>
    </row>
    <row r="481">
      <c r="U481" s="34">
        <f>IF(COUNT(D481:M481)=10,((D481-1)+(5-E481)+(F481-1)+(5-G481)+(H481-1)+(5-I481)+(J481-1)+(5-K481)+(L481-1)+(5-M481))*2.5,"")</f>
        <v/>
      </c>
    </row>
    <row r="482">
      <c r="U482" s="34">
        <f>IF(COUNT(D482:M482)=10,((D482-1)+(5-E482)+(F482-1)+(5-G482)+(H482-1)+(5-I482)+(J482-1)+(5-K482)+(L482-1)+(5-M482))*2.5,"")</f>
        <v/>
      </c>
    </row>
    <row r="483">
      <c r="U483" s="34">
        <f>IF(COUNT(D483:M483)=10,((D483-1)+(5-E483)+(F483-1)+(5-G483)+(H483-1)+(5-I483)+(J483-1)+(5-K483)+(L483-1)+(5-M483))*2.5,"")</f>
        <v/>
      </c>
    </row>
    <row r="484">
      <c r="U484" s="34">
        <f>IF(COUNT(D484:M484)=10,((D484-1)+(5-E484)+(F484-1)+(5-G484)+(H484-1)+(5-I484)+(J484-1)+(5-K484)+(L484-1)+(5-M484))*2.5,"")</f>
        <v/>
      </c>
    </row>
    <row r="485">
      <c r="U485" s="34">
        <f>IF(COUNT(D485:M485)=10,((D485-1)+(5-E485)+(F485-1)+(5-G485)+(H485-1)+(5-I485)+(J485-1)+(5-K485)+(L485-1)+(5-M485))*2.5,"")</f>
        <v/>
      </c>
    </row>
    <row r="486">
      <c r="U486" s="34">
        <f>IF(COUNT(D486:M486)=10,((D486-1)+(5-E486)+(F486-1)+(5-G486)+(H486-1)+(5-I486)+(J486-1)+(5-K486)+(L486-1)+(5-M486))*2.5,"")</f>
        <v/>
      </c>
    </row>
    <row r="487">
      <c r="U487" s="34">
        <f>IF(COUNT(D487:M487)=10,((D487-1)+(5-E487)+(F487-1)+(5-G487)+(H487-1)+(5-I487)+(J487-1)+(5-K487)+(L487-1)+(5-M487))*2.5,"")</f>
        <v/>
      </c>
    </row>
    <row r="488">
      <c r="U488" s="34">
        <f>IF(COUNT(D488:M488)=10,((D488-1)+(5-E488)+(F488-1)+(5-G488)+(H488-1)+(5-I488)+(J488-1)+(5-K488)+(L488-1)+(5-M488))*2.5,"")</f>
        <v/>
      </c>
    </row>
    <row r="489">
      <c r="U489" s="34">
        <f>IF(COUNT(D489:M489)=10,((D489-1)+(5-E489)+(F489-1)+(5-G489)+(H489-1)+(5-I489)+(J489-1)+(5-K489)+(L489-1)+(5-M489))*2.5,"")</f>
        <v/>
      </c>
    </row>
    <row r="490">
      <c r="U490" s="34">
        <f>IF(COUNT(D490:M490)=10,((D490-1)+(5-E490)+(F490-1)+(5-G490)+(H490-1)+(5-I490)+(J490-1)+(5-K490)+(L490-1)+(5-M490))*2.5,"")</f>
        <v/>
      </c>
    </row>
    <row r="491">
      <c r="U491" s="34">
        <f>IF(COUNT(D491:M491)=10,((D491-1)+(5-E491)+(F491-1)+(5-G491)+(H491-1)+(5-I491)+(J491-1)+(5-K491)+(L491-1)+(5-M491))*2.5,"")</f>
        <v/>
      </c>
    </row>
    <row r="492">
      <c r="U492" s="34">
        <f>IF(COUNT(D492:M492)=10,((D492-1)+(5-E492)+(F492-1)+(5-G492)+(H492-1)+(5-I492)+(J492-1)+(5-K492)+(L492-1)+(5-M492))*2.5,"")</f>
        <v/>
      </c>
    </row>
    <row r="493">
      <c r="U493" s="34">
        <f>IF(COUNT(D493:M493)=10,((D493-1)+(5-E493)+(F493-1)+(5-G493)+(H493-1)+(5-I493)+(J493-1)+(5-K493)+(L493-1)+(5-M493))*2.5,"")</f>
        <v/>
      </c>
    </row>
    <row r="494">
      <c r="U494" s="34">
        <f>IF(COUNT(D494:M494)=10,((D494-1)+(5-E494)+(F494-1)+(5-G494)+(H494-1)+(5-I494)+(J494-1)+(5-K494)+(L494-1)+(5-M494))*2.5,"")</f>
        <v/>
      </c>
    </row>
    <row r="495">
      <c r="U495" s="34">
        <f>IF(COUNT(D495:M495)=10,((D495-1)+(5-E495)+(F495-1)+(5-G495)+(H495-1)+(5-I495)+(J495-1)+(5-K495)+(L495-1)+(5-M495))*2.5,"")</f>
        <v/>
      </c>
    </row>
    <row r="496">
      <c r="U496" s="34">
        <f>IF(COUNT(D496:M496)=10,((D496-1)+(5-E496)+(F496-1)+(5-G496)+(H496-1)+(5-I496)+(J496-1)+(5-K496)+(L496-1)+(5-M496))*2.5,"")</f>
        <v/>
      </c>
    </row>
    <row r="497">
      <c r="U497" s="34">
        <f>IF(COUNT(D497:M497)=10,((D497-1)+(5-E497)+(F497-1)+(5-G497)+(H497-1)+(5-I497)+(J497-1)+(5-K497)+(L497-1)+(5-M497))*2.5,"")</f>
        <v/>
      </c>
    </row>
    <row r="498">
      <c r="U498" s="34">
        <f>IF(COUNT(D498:M498)=10,((D498-1)+(5-E498)+(F498-1)+(5-G498)+(H498-1)+(5-I498)+(J498-1)+(5-K498)+(L498-1)+(5-M498))*2.5,"")</f>
        <v/>
      </c>
    </row>
    <row r="499">
      <c r="U499" s="34">
        <f>IF(COUNT(D499:M499)=10,((D499-1)+(5-E499)+(F499-1)+(5-G499)+(H499-1)+(5-I499)+(J499-1)+(5-K499)+(L499-1)+(5-M499))*2.5,"")</f>
        <v/>
      </c>
    </row>
    <row r="500">
      <c r="U500" s="34">
        <f>IF(COUNT(D500:M500)=10,((D500-1)+(5-E500)+(F500-1)+(5-G500)+(H500-1)+(5-I500)+(J500-1)+(5-K500)+(L500-1)+(5-M500))*2.5,"")</f>
        <v/>
      </c>
    </row>
    <row r="503">
      <c r="A503" s="9" t="inlineStr">
        <is>
          <t>Paste the Google Form response rows into columns A to S. The SUS score in column U is calculated. Scale: 1 = strongly disagree ... 5 = strongly agree; SUS items 2, 4, 6, 8 and 10 are negatively worded and the formula already reverses them.</t>
        </is>
      </c>
    </row>
  </sheetData>
  <dataValidations count="3">
    <dataValidation sqref="D2:P500" showDropDown="0" showInputMessage="0" showErrorMessage="0" allowBlank="1" errorTitle="Invalid entry" error="Answers are numbers from 1 (strongly disagree) to 5 (strongly agree)." type="whole" operator="between">
      <formula1>1</formula1>
      <formula2>5</formula2>
    </dataValidation>
    <dataValidation sqref="S2:S500" showDropDown="0" showInputMessage="0" showErrorMessage="0" allowBlank="1" type="list">
      <formula1>"Yes,Maybe,No"</formula1>
    </dataValidation>
    <dataValidation sqref="T2:T500" showDropDown="0" showInputMessage="0" showErrorMessage="0" allowBlank="1" type="list">
      <formula1>"Club Committee,HEPA Officer,Admin"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2026-10-06T06:31:59Z</dcterms:created>
  <dcterms:modified xmlns:dcterms="http://purl.org/dc/terms/" xmlns:xsi="http://www.w3.org/2001/XMLSchema-instance" xsi:type="dcterms:W3CDTF">2026-10-06T06:31:59Z</dcterms:modified>
</cp:coreProperties>
</file>